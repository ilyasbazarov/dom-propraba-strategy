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1E6D2DE6-5AAA-4DA7-8846-1718CDBE1EB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&amp;L" sheetId="1" r:id="rId1"/>
    <sheet name="Cash Flow" sheetId="2" r:id="rId2"/>
    <sheet name="Data" sheetId="3" r:id="rId3"/>
    <sheet name="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80" i="3" l="1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G26" i="2"/>
  <c r="F26" i="2"/>
  <c r="E26" i="2"/>
  <c r="D26" i="2"/>
  <c r="C26" i="2"/>
  <c r="H26" i="2" s="1"/>
  <c r="G25" i="2"/>
  <c r="G27" i="2" s="1"/>
  <c r="F25" i="2"/>
  <c r="F27" i="2" s="1"/>
  <c r="E25" i="2"/>
  <c r="E27" i="2" s="1"/>
  <c r="D25" i="2"/>
  <c r="D27" i="2" s="1"/>
  <c r="C25" i="2"/>
  <c r="C27" i="2" s="1"/>
  <c r="F22" i="2"/>
  <c r="G21" i="2"/>
  <c r="G22" i="2" s="1"/>
  <c r="F21" i="2"/>
  <c r="E21" i="2"/>
  <c r="E22" i="2" s="1"/>
  <c r="D21" i="2"/>
  <c r="D22" i="2" s="1"/>
  <c r="C21" i="2"/>
  <c r="C22" i="2" s="1"/>
  <c r="G17" i="2"/>
  <c r="F17" i="2"/>
  <c r="E17" i="2"/>
  <c r="D17" i="2"/>
  <c r="C17" i="2"/>
  <c r="H17" i="2" s="1"/>
  <c r="G16" i="2"/>
  <c r="F16" i="2"/>
  <c r="E16" i="2"/>
  <c r="D16" i="2"/>
  <c r="C16" i="2"/>
  <c r="H16" i="2" s="1"/>
  <c r="G15" i="2"/>
  <c r="F15" i="2"/>
  <c r="E15" i="2"/>
  <c r="D15" i="2"/>
  <c r="C15" i="2"/>
  <c r="H15" i="2" s="1"/>
  <c r="G14" i="2"/>
  <c r="F14" i="2"/>
  <c r="E14" i="2"/>
  <c r="D14" i="2"/>
  <c r="C14" i="2"/>
  <c r="H14" i="2" s="1"/>
  <c r="G13" i="2"/>
  <c r="F13" i="2"/>
  <c r="E13" i="2"/>
  <c r="D13" i="2"/>
  <c r="C13" i="2"/>
  <c r="H13" i="2" s="1"/>
  <c r="G12" i="2"/>
  <c r="F12" i="2"/>
  <c r="E12" i="2"/>
  <c r="D12" i="2"/>
  <c r="C12" i="2"/>
  <c r="H12" i="2" s="1"/>
  <c r="G11" i="2"/>
  <c r="F11" i="2"/>
  <c r="E11" i="2"/>
  <c r="D11" i="2"/>
  <c r="C11" i="2"/>
  <c r="H11" i="2" s="1"/>
  <c r="G10" i="2"/>
  <c r="F10" i="2"/>
  <c r="E10" i="2"/>
  <c r="D10" i="2"/>
  <c r="C10" i="2"/>
  <c r="H10" i="2" s="1"/>
  <c r="G9" i="2"/>
  <c r="F9" i="2"/>
  <c r="E9" i="2"/>
  <c r="D9" i="2"/>
  <c r="C9" i="2"/>
  <c r="H9" i="2" s="1"/>
  <c r="G8" i="2"/>
  <c r="F8" i="2"/>
  <c r="E8" i="2"/>
  <c r="D8" i="2"/>
  <c r="C8" i="2"/>
  <c r="H8" i="2" s="1"/>
  <c r="G7" i="2"/>
  <c r="F7" i="2"/>
  <c r="E7" i="2"/>
  <c r="D7" i="2"/>
  <c r="C7" i="2"/>
  <c r="H7" i="2" s="1"/>
  <c r="G6" i="2"/>
  <c r="G18" i="2" s="1"/>
  <c r="F6" i="2"/>
  <c r="F18" i="2" s="1"/>
  <c r="E6" i="2"/>
  <c r="E18" i="2" s="1"/>
  <c r="D6" i="2"/>
  <c r="D18" i="2" s="1"/>
  <c r="D29" i="2" s="1"/>
  <c r="C6" i="2"/>
  <c r="H6" i="2" s="1"/>
  <c r="G35" i="1"/>
  <c r="F35" i="1"/>
  <c r="E35" i="1"/>
  <c r="D35" i="1"/>
  <c r="C35" i="1"/>
  <c r="H35" i="1" s="1"/>
  <c r="G34" i="1"/>
  <c r="F34" i="1"/>
  <c r="E34" i="1"/>
  <c r="D34" i="1"/>
  <c r="C34" i="1"/>
  <c r="H34" i="1" s="1"/>
  <c r="G30" i="1"/>
  <c r="F30" i="1"/>
  <c r="E30" i="1"/>
  <c r="D30" i="1"/>
  <c r="C30" i="1"/>
  <c r="H30" i="1" s="1"/>
  <c r="G25" i="1"/>
  <c r="F25" i="1"/>
  <c r="E25" i="1"/>
  <c r="D25" i="1"/>
  <c r="C25" i="1"/>
  <c r="H25" i="1" s="1"/>
  <c r="G24" i="1"/>
  <c r="F24" i="1"/>
  <c r="E24" i="1"/>
  <c r="D24" i="1"/>
  <c r="C24" i="1"/>
  <c r="H24" i="1" s="1"/>
  <c r="G23" i="1"/>
  <c r="F23" i="1"/>
  <c r="E23" i="1"/>
  <c r="D23" i="1"/>
  <c r="C23" i="1"/>
  <c r="H23" i="1" s="1"/>
  <c r="G22" i="1"/>
  <c r="F22" i="1"/>
  <c r="E22" i="1"/>
  <c r="D22" i="1"/>
  <c r="C22" i="1"/>
  <c r="H22" i="1" s="1"/>
  <c r="G21" i="1"/>
  <c r="F21" i="1"/>
  <c r="E21" i="1"/>
  <c r="D21" i="1"/>
  <c r="C21" i="1"/>
  <c r="H21" i="1" s="1"/>
  <c r="G20" i="1"/>
  <c r="G26" i="1" s="1"/>
  <c r="F20" i="1"/>
  <c r="F26" i="1" s="1"/>
  <c r="E20" i="1"/>
  <c r="E26" i="1" s="1"/>
  <c r="D20" i="1"/>
  <c r="D26" i="1" s="1"/>
  <c r="C20" i="1"/>
  <c r="C26" i="1" s="1"/>
  <c r="H26" i="1" s="1"/>
  <c r="G13" i="1"/>
  <c r="F13" i="1"/>
  <c r="E13" i="1"/>
  <c r="D13" i="1"/>
  <c r="C13" i="1"/>
  <c r="H13" i="1" s="1"/>
  <c r="G12" i="1"/>
  <c r="G14" i="1" s="1"/>
  <c r="F12" i="1"/>
  <c r="F14" i="1" s="1"/>
  <c r="E12" i="1"/>
  <c r="E14" i="1" s="1"/>
  <c r="D12" i="1"/>
  <c r="D14" i="1" s="1"/>
  <c r="C12" i="1"/>
  <c r="H12" i="1" s="1"/>
  <c r="G8" i="1"/>
  <c r="F8" i="1"/>
  <c r="E8" i="1"/>
  <c r="D8" i="1"/>
  <c r="C8" i="1"/>
  <c r="H8" i="1" s="1"/>
  <c r="G7" i="1"/>
  <c r="G9" i="1" s="1"/>
  <c r="F7" i="1"/>
  <c r="E7" i="1"/>
  <c r="E9" i="1" s="1"/>
  <c r="D7" i="1"/>
  <c r="D9" i="1" s="1"/>
  <c r="C7" i="1"/>
  <c r="H7" i="1" s="1"/>
  <c r="G6" i="1"/>
  <c r="F6" i="1"/>
  <c r="F9" i="1" s="1"/>
  <c r="E6" i="1"/>
  <c r="D6" i="1"/>
  <c r="C6" i="1"/>
  <c r="H6" i="1" s="1"/>
  <c r="D38" i="1" l="1"/>
  <c r="D29" i="1"/>
  <c r="D16" i="1"/>
  <c r="D28" i="1" s="1"/>
  <c r="D31" i="1" s="1"/>
  <c r="D37" i="1" s="1"/>
  <c r="D17" i="1"/>
  <c r="E16" i="1"/>
  <c r="E28" i="1" s="1"/>
  <c r="E31" i="1" s="1"/>
  <c r="E37" i="1" s="1"/>
  <c r="E38" i="1" s="1"/>
  <c r="E17" i="1"/>
  <c r="G16" i="1"/>
  <c r="G28" i="1" s="1"/>
  <c r="G31" i="1" s="1"/>
  <c r="G37" i="1" s="1"/>
  <c r="G38" i="1" s="1"/>
  <c r="H22" i="2"/>
  <c r="F29" i="2"/>
  <c r="G29" i="2"/>
  <c r="H27" i="2"/>
  <c r="E29" i="2"/>
  <c r="F16" i="1"/>
  <c r="F28" i="1" s="1"/>
  <c r="F31" i="1" s="1"/>
  <c r="F37" i="1" s="1"/>
  <c r="F38" i="1" s="1"/>
  <c r="F17" i="1"/>
  <c r="C9" i="1"/>
  <c r="H20" i="1"/>
  <c r="H21" i="2"/>
  <c r="H25" i="2"/>
  <c r="C14" i="1"/>
  <c r="H14" i="1" s="1"/>
  <c r="C18" i="2"/>
  <c r="G29" i="1" l="1"/>
  <c r="H9" i="1"/>
  <c r="C16" i="1"/>
  <c r="G17" i="1"/>
  <c r="E29" i="1"/>
  <c r="F29" i="1"/>
  <c r="H18" i="2"/>
  <c r="C29" i="2"/>
  <c r="H29" i="2" s="1"/>
  <c r="C28" i="1" l="1"/>
  <c r="H16" i="1"/>
  <c r="H17" i="1" s="1"/>
  <c r="C17" i="1"/>
  <c r="C31" i="1" l="1"/>
  <c r="H28" i="1"/>
  <c r="H29" i="1" s="1"/>
  <c r="C29" i="1"/>
  <c r="C37" i="1" l="1"/>
  <c r="H31" i="1"/>
  <c r="H37" i="1" l="1"/>
  <c r="H38" i="1" s="1"/>
  <c r="C38" i="1"/>
</calcChain>
</file>

<file path=xl/sharedStrings.xml><?xml version="1.0" encoding="utf-8"?>
<sst xmlns="http://schemas.openxmlformats.org/spreadsheetml/2006/main" count="319" uniqueCount="239">
  <si>
    <t>GAMMA — Management P&amp;L (Cash Basis)</t>
  </si>
  <si>
    <t>Jan–May 2026 actuals · KGS · capital expenditure, owner drawings and capital injections are excluded (shown in Cash Flow).</t>
  </si>
  <si>
    <t>Jan-26</t>
  </si>
  <si>
    <t>Feb-26</t>
  </si>
  <si>
    <t>Mar-26</t>
  </si>
  <si>
    <t>Apr-26</t>
  </si>
  <si>
    <t>May-26</t>
  </si>
  <si>
    <t>YTD</t>
  </si>
  <si>
    <t>REVENUE</t>
  </si>
  <si>
    <t>Retail sales (POS + cash)</t>
  </si>
  <si>
    <t>Wholesale (B2B)</t>
  </si>
  <si>
    <t>Other operating income (sublease, recycling)</t>
  </si>
  <si>
    <t>Total revenue</t>
  </si>
  <si>
    <t>COST OF SALES</t>
  </si>
  <si>
    <t>Goods purchased (supplier payments)</t>
  </si>
  <si>
    <t>Import, customs, logistics &amp; broker</t>
  </si>
  <si>
    <t>Total cost of sales</t>
  </si>
  <si>
    <t>GROSS PROFIT</t>
  </si>
  <si>
    <t>Gross margin %</t>
  </si>
  <si>
    <t>OPERATING EXPENSES</t>
  </si>
  <si>
    <t>Personnel (payroll, taxes, social)</t>
  </si>
  <si>
    <t>Rent &amp; utilities</t>
  </si>
  <si>
    <t>Marketing &amp; transport</t>
  </si>
  <si>
    <t>Bank charges &amp; commissions</t>
  </si>
  <si>
    <t>Services &amp; subscriptions</t>
  </si>
  <si>
    <t>Market consumables</t>
  </si>
  <si>
    <t>Total operating expenses</t>
  </si>
  <si>
    <t>EBITDA</t>
  </si>
  <si>
    <t>EBITDA margin %</t>
  </si>
  <si>
    <t>Unified (simplified) tax</t>
  </si>
  <si>
    <t>Operating profit (EBIT)</t>
  </si>
  <si>
    <t>NON-OPERATING</t>
  </si>
  <si>
    <t>Other non-operating (travel, fines, advances)</t>
  </si>
  <si>
    <t>Unclassified payments (marked '?')</t>
  </si>
  <si>
    <t>NET PROFIT (cash basis)</t>
  </si>
  <si>
    <t>Net margin %</t>
  </si>
  <si>
    <t>Memo — excluded from P&amp;L above (see Cash Flow): capital expenditure, owner drawings, and capital injections.</t>
  </si>
  <si>
    <t>GAMMA — Cash Flow Statement (Cash Basis)</t>
  </si>
  <si>
    <t>Jan–May 2026 actuals · KGS · ties to the source file's net-cash line.</t>
  </si>
  <si>
    <t>OPERATING ACTIVITIES</t>
  </si>
  <si>
    <t>Cash receipts from customers &amp; other income</t>
  </si>
  <si>
    <t>Payments to suppliers (goods)</t>
  </si>
  <si>
    <t>Personnel</t>
  </si>
  <si>
    <t>Bank charges</t>
  </si>
  <si>
    <t>Unclassified payments ('?')</t>
  </si>
  <si>
    <t>Net cash from operating activities</t>
  </si>
  <si>
    <t>INVESTING ACTIVITIES</t>
  </si>
  <si>
    <t>Capital expenditure (equipment, fixed assets, software, renovation)</t>
  </si>
  <si>
    <t>Net cash used in investing activities</t>
  </si>
  <si>
    <t>FINANCING ACTIVITIES</t>
  </si>
  <si>
    <t>Capital injections (KGS)</t>
  </si>
  <si>
    <t>Owner drawings</t>
  </si>
  <si>
    <t>Net cash from financing activities</t>
  </si>
  <si>
    <t>NET CHANGE IN CASH</t>
  </si>
  <si>
    <t>Tie-out: Net change in cash should equal the source workbook's own net line (+1,135,368 YTD).</t>
  </si>
  <si>
    <t>GAMMA — Source data (cash movements), Jan–May 2026</t>
  </si>
  <si>
    <t>All values in KGS. Blue = transcribed inputs from cashflow_2026_gamma.xlsx (Лист1). '*' rows are memo items tracked outside the company's net-cash line.</t>
  </si>
  <si>
    <t>Group</t>
  </si>
  <si>
    <t>Line item (EN)</t>
  </si>
  <si>
    <t>Line item (RU)</t>
  </si>
  <si>
    <t>REV_RETAIL</t>
  </si>
  <si>
    <t>Retail POS — Mbank</t>
  </si>
  <si>
    <t>Касса Мбанк</t>
  </si>
  <si>
    <t>Retail POS — Optima</t>
  </si>
  <si>
    <t>Касса Оптима</t>
  </si>
  <si>
    <t>Retail cash — Kokzhar</t>
  </si>
  <si>
    <t>Касса Наличные Кокжар</t>
  </si>
  <si>
    <t>Retail cash — Belovodsk</t>
  </si>
  <si>
    <t>Касса Наличные Беловодск</t>
  </si>
  <si>
    <t>REV_B2B</t>
  </si>
  <si>
    <t>Wholesale B2B — bank</t>
  </si>
  <si>
    <t>B2B Банк</t>
  </si>
  <si>
    <t>Wholesale B2B — cash</t>
  </si>
  <si>
    <t>B2B Наличные</t>
  </si>
  <si>
    <t>REV_OTHER</t>
  </si>
  <si>
    <t>Sublease — bank</t>
  </si>
  <si>
    <t>Субаренда банк</t>
  </si>
  <si>
    <t>Sublease — cash</t>
  </si>
  <si>
    <t>Субаренда наличные</t>
  </si>
  <si>
    <t>Recycling / scrap paper</t>
  </si>
  <si>
    <t>Макулатура</t>
  </si>
  <si>
    <t>COGS_SUP</t>
  </si>
  <si>
    <t>Оплаты поставщикам</t>
  </si>
  <si>
    <t>COGS_IMPORT</t>
  </si>
  <si>
    <t>Logistics (Li Group)</t>
  </si>
  <si>
    <t>Ли групп (логистика)</t>
  </si>
  <si>
    <t>HS-code (NY Lingua)</t>
  </si>
  <si>
    <t>Нью-Йорк Лингва (ТНВЭД)</t>
  </si>
  <si>
    <t>Import (KobEh)</t>
  </si>
  <si>
    <t>КобЭх (импорт)</t>
  </si>
  <si>
    <t>Broker services</t>
  </si>
  <si>
    <t>Услуги (брокер)</t>
  </si>
  <si>
    <t>Customs duties</t>
  </si>
  <si>
    <t>Таможенные расходы</t>
  </si>
  <si>
    <t>Declaration</t>
  </si>
  <si>
    <t>Декларация</t>
  </si>
  <si>
    <t>Import VAT</t>
  </si>
  <si>
    <t>НДС на импорт</t>
  </si>
  <si>
    <t>OPEX_PAYROLL</t>
  </si>
  <si>
    <t>Salaries (bank)</t>
  </si>
  <si>
    <t>Фот</t>
  </si>
  <si>
    <t>Salaries (cash)</t>
  </si>
  <si>
    <t>Фот нал</t>
  </si>
  <si>
    <t>Social fund</t>
  </si>
  <si>
    <t>Соц фонд</t>
  </si>
  <si>
    <t>Payroll income tax</t>
  </si>
  <si>
    <t>Подоходный налог</t>
  </si>
  <si>
    <t>Pension fund (GNPF)</t>
  </si>
  <si>
    <t>ГНПФ</t>
  </si>
  <si>
    <t>Bonuses</t>
  </si>
  <si>
    <t>Бонусы</t>
  </si>
  <si>
    <t>Other staff costs</t>
  </si>
  <si>
    <t>Прочие расходы сотрудников</t>
  </si>
  <si>
    <t>OPEX_RENT</t>
  </si>
  <si>
    <t>Cleaning (Tazalyk)</t>
  </si>
  <si>
    <t>Тазалык</t>
  </si>
  <si>
    <t>Electricity (NESK)</t>
  </si>
  <si>
    <t>Нэск (электричество)</t>
  </si>
  <si>
    <t>Electricity (BV)</t>
  </si>
  <si>
    <t>Электричество БВ</t>
  </si>
  <si>
    <t>Water (Badalov)</t>
  </si>
  <si>
    <t>Бадалов (вода)</t>
  </si>
  <si>
    <t>OPEX_MKT</t>
  </si>
  <si>
    <t>Transport</t>
  </si>
  <si>
    <t>Транспортные</t>
  </si>
  <si>
    <t>Marketing / targeting</t>
  </si>
  <si>
    <t>Маркетинг/Таргет</t>
  </si>
  <si>
    <t>OPEX_BANK</t>
  </si>
  <si>
    <t>Mbank commission</t>
  </si>
  <si>
    <t>Мбанк комм</t>
  </si>
  <si>
    <t>Optima commission</t>
  </si>
  <si>
    <t>Опт комм</t>
  </si>
  <si>
    <t>Bank service fees</t>
  </si>
  <si>
    <t>Услуги банка</t>
  </si>
  <si>
    <t>OPEX_SERV</t>
  </si>
  <si>
    <t>Yandex</t>
  </si>
  <si>
    <t>Яндекс</t>
  </si>
  <si>
    <t>HeadHunter</t>
  </si>
  <si>
    <t>Хэдхантер</t>
  </si>
  <si>
    <t>Internet</t>
  </si>
  <si>
    <t>Интернет</t>
  </si>
  <si>
    <t>Internet (Belovodsk)</t>
  </si>
  <si>
    <t>Интернет беловодск</t>
  </si>
  <si>
    <t>List.kg (subscription)</t>
  </si>
  <si>
    <t>Лист.кг</t>
  </si>
  <si>
    <t>Online cash register</t>
  </si>
  <si>
    <t>ККМ онлайн</t>
  </si>
  <si>
    <t>Notary</t>
  </si>
  <si>
    <t>Нотариус</t>
  </si>
  <si>
    <t>Mobile (Beeline)</t>
  </si>
  <si>
    <t>Сот связь (вымпел)</t>
  </si>
  <si>
    <t>Inwork</t>
  </si>
  <si>
    <t>Инворк</t>
  </si>
  <si>
    <t>Mobile (Alfa Telecom)</t>
  </si>
  <si>
    <t>Альфа телеком</t>
  </si>
  <si>
    <t>Loaders &amp; misc services</t>
  </si>
  <si>
    <t>Услуги (грузчики)</t>
  </si>
  <si>
    <t>OPEX_CONS</t>
  </si>
  <si>
    <t>Receipt tape</t>
  </si>
  <si>
    <t>Чек лента</t>
  </si>
  <si>
    <t>Water dispenser</t>
  </si>
  <si>
    <t>Вода диспенсер</t>
  </si>
  <si>
    <t>Fuel (generator)</t>
  </si>
  <si>
    <t>ГСМ (генератор)</t>
  </si>
  <si>
    <t>Office supplies</t>
  </si>
  <si>
    <t>Концтовары</t>
  </si>
  <si>
    <t>A4 paper</t>
  </si>
  <si>
    <t>Бумага А4</t>
  </si>
  <si>
    <t>Printing (Yuras)</t>
  </si>
  <si>
    <t>ОсОО Юрас (печать)</t>
  </si>
  <si>
    <t>TAX</t>
  </si>
  <si>
    <t>Единый налог</t>
  </si>
  <si>
    <t>NONOP_OTHER</t>
  </si>
  <si>
    <t>Travel / per diem</t>
  </si>
  <si>
    <t>Командировочные</t>
  </si>
  <si>
    <t>Fines</t>
  </si>
  <si>
    <t>Штрафы</t>
  </si>
  <si>
    <t>Advances (podotchet)</t>
  </si>
  <si>
    <t>Подотчет</t>
  </si>
  <si>
    <t>Other expenses</t>
  </si>
  <si>
    <t>Прочие расходы</t>
  </si>
  <si>
    <t>NONOP_UNCL</t>
  </si>
  <si>
    <t>RM Plus (?)</t>
  </si>
  <si>
    <t>РМ плюс (?)</t>
  </si>
  <si>
    <t>DAS Group (?)</t>
  </si>
  <si>
    <t>ДАС Групп (?)</t>
  </si>
  <si>
    <t>IP Loparev (?)</t>
  </si>
  <si>
    <t>ИП Лопарев (?)</t>
  </si>
  <si>
    <t>Saparbekova A. (?)</t>
  </si>
  <si>
    <t>Сапарбекова А. (?)</t>
  </si>
  <si>
    <t>Brave (?)</t>
  </si>
  <si>
    <t>CAPEX</t>
  </si>
  <si>
    <t>Designer</t>
  </si>
  <si>
    <t>Дизайнер</t>
  </si>
  <si>
    <t>Software licenses (Guduu)</t>
  </si>
  <si>
    <t>Гудуу (лицензии)</t>
  </si>
  <si>
    <t>List.kg development</t>
  </si>
  <si>
    <t>Лист.кг доработки</t>
  </si>
  <si>
    <t>Architecture</t>
  </si>
  <si>
    <t>Архитектура</t>
  </si>
  <si>
    <t>Renovation (BV doors)</t>
  </si>
  <si>
    <t>Ремонт БВ (двери)</t>
  </si>
  <si>
    <t>Equipment purchase (BV)</t>
  </si>
  <si>
    <t>Закуп оборудования БВ</t>
  </si>
  <si>
    <t>Fixed-asset acquisition</t>
  </si>
  <si>
    <t>Приобретение ОС</t>
  </si>
  <si>
    <t>FIN_DRAW</t>
  </si>
  <si>
    <t>Owner drawing — Esenbaev</t>
  </si>
  <si>
    <t>Вывод: Эсенбаев</t>
  </si>
  <si>
    <t>Owner drawing — IP Rakhmanov</t>
  </si>
  <si>
    <t>Вывод: ИП Рахманов</t>
  </si>
  <si>
    <t>Owner drawing — IP Avtandil</t>
  </si>
  <si>
    <t>Вывод: ИП Автандиль</t>
  </si>
  <si>
    <t>FIN_INJECT</t>
  </si>
  <si>
    <t>Capital injection (KGS)</t>
  </si>
  <si>
    <t>Инвестиции сом</t>
  </si>
  <si>
    <t>MEMO</t>
  </si>
  <si>
    <t>Capital injection (USD)*</t>
  </si>
  <si>
    <t>Инвестиции дол*</t>
  </si>
  <si>
    <t>USD (global)*</t>
  </si>
  <si>
    <t>Дол (global)*</t>
  </si>
  <si>
    <t>Tenge (Mir Instrumentov)*</t>
  </si>
  <si>
    <t>Тенге (мир инструментов)*</t>
  </si>
  <si>
    <t>Cashier shortage*</t>
  </si>
  <si>
    <t>Недосдача кассира*</t>
  </si>
  <si>
    <t>Cashier surplus*</t>
  </si>
  <si>
    <t>Излишки кассира*</t>
  </si>
  <si>
    <t>Notes &amp; assumptions</t>
  </si>
  <si>
    <t>1. Basis. The source file is a daily CASH tracker, so these statements are prepared on a CASH basis (receipts and payments), not accrual. There is no inventory, accruals, receivables/payables or depreciation data, so 'Cost of sales' = cash paid to suppliers + import/customs costs in the period, and there is no D&amp;A line.</t>
  </si>
  <si>
    <t>2. Period. Actuals exist for January–May 2026 only; June–December in the source are empty and are excluded. 'YTD' = Jan–May 2026.</t>
  </si>
  <si>
    <t>3. Currency. All figures in KGS (Kyrgyz som). USD/tenge-denominated rows in the source are flagged '*' and shown only as memo items.</t>
  </si>
  <si>
    <t>4. Reconciliation. Net change in cash (+1,135,368 YTD) equals the source workbook's own net line, which is Total income − Total expenses + KGS capital injections.</t>
  </si>
  <si>
    <t>5. Cost of sales includes import VAT (НДС на импорт). If this VAT is recoverable, reclassify it out of cost of sales to a VAT receivable.</t>
  </si>
  <si>
    <t>6. Capital expenditure (РАЗОВЫЕ ДОРАБОТКИ И ВЛОЖЕНИЯ — equipment, fixed-asset purchases, renovation, software/site development) is treated as INVESTING, not a P&amp;L expense. Under accrual accounting it would be capitalised and depreciated.</t>
  </si>
  <si>
    <t>7. Owner drawings (the 'вывод' rows: Esenbaev, IP Rakhmanov, IP Avtandil) are treated as FINANCING distributions, not expenses. Capital injections ('инвестиции сом') are FINANCING inflows.</t>
  </si>
  <si>
    <t>8. 'Unclassified payments' (rows marked '?' in the source: RM Plus, DAS Group, IP Loparev, Saparbekova, Brave) are kept in non-operating pending classification — reassign to cost of sales, opex or drawings once their nature is known.</t>
  </si>
  <si>
    <t>9. Unified tax (единый налог) is Kyrgyzstan's simplified turnover-based tax; it is shown below EBITDA as the period tax charge.</t>
  </si>
  <si>
    <t>10. Memo items (USD injections, USD 'global', tenge 'Mir Instrumentov', cashier shortages/surpluses) sit outside the source's net-cash line and are excluded here; 'Mir Instrumentov' (KZT 2.58m) may in fact be a supplier purchase — confirm and reclassify to cost of sales if so.</t>
  </si>
  <si>
    <t>11. All amounts flow from the 'Data' sheet via SUMIF; edit a value there and the P&amp;L and Cash Flow update on recalculation.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</si>
</sst>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0.0%;\(0.0%\);\-"/>
  </numFmts>
  <fonts count="15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  <charset val="204"/>
    </font>
    <font>
      <i/>
      <sz val="9"/>
      <color rgb="FF808080"/>
      <name val="Arial"/>
      <family val="2"/>
      <charset val="204"/>
    </font>
    <font>
      <b/>
      <sz val="11"/>
      <color rgb="FFFFFFFF"/>
      <name val="Arial"/>
      <family val="2"/>
      <charset val="204"/>
    </font>
    <font>
      <b/>
      <sz val="10"/>
      <color rgb="FF1F3864"/>
      <name val="Arial"/>
      <family val="2"/>
      <charset val="204"/>
    </font>
    <font>
      <sz val="11"/>
      <name val="Arial"/>
      <family val="2"/>
      <charset val="204"/>
    </font>
    <font>
      <sz val="11"/>
      <color rgb="FF008000"/>
      <name val="Arial"/>
      <family val="2"/>
      <charset val="204"/>
    </font>
    <font>
      <b/>
      <sz val="11"/>
      <name val="Arial"/>
      <family val="2"/>
      <charset val="204"/>
    </font>
    <font>
      <i/>
      <sz val="11"/>
      <color rgb="FF808080"/>
      <name val="Arial"/>
      <family val="2"/>
      <charset val="204"/>
    </font>
    <font>
      <i/>
      <sz val="8"/>
      <color rgb="FF808080"/>
      <name val="Arial"/>
      <family val="2"/>
      <charset val="204"/>
    </font>
    <font>
      <b/>
      <sz val="13"/>
      <color rgb="FF1F3864"/>
      <name val="Arial"/>
      <family val="2"/>
      <charset val="204"/>
    </font>
    <font>
      <sz val="9"/>
      <color rgb="FF808080"/>
      <name val="Arial"/>
      <family val="2"/>
      <charset val="204"/>
    </font>
    <font>
      <sz val="9"/>
      <color rgb="FF595959"/>
      <name val="Arial"/>
      <family val="2"/>
      <charset val="204"/>
    </font>
    <font>
      <sz val="11"/>
      <color rgb="FF0000FF"/>
      <name val="Arial"/>
      <family val="2"/>
      <charset val="204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E2EFDA"/>
      </patternFill>
    </fill>
  </fills>
  <borders count="2">
    <border>
      <left/>
      <right/>
      <top/>
      <bottom/>
      <diagonal/>
    </border>
    <border>
      <left/>
      <right/>
      <top style="thin">
        <color rgb="FF80808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4" fillId="3" borderId="0" xfId="0" applyFont="1" applyFill="1"/>
    <xf numFmtId="0" fontId="0" fillId="3" borderId="0" xfId="0" applyFill="1"/>
    <xf numFmtId="0" fontId="5" fillId="0" borderId="0" xfId="0" applyFont="1"/>
    <xf numFmtId="164" fontId="6" fillId="0" borderId="0" xfId="0" applyNumberFormat="1" applyFont="1"/>
    <xf numFmtId="164" fontId="5" fillId="0" borderId="0" xfId="0" applyNumberFormat="1" applyFont="1"/>
    <xf numFmtId="0" fontId="7" fillId="0" borderId="1" xfId="0" applyFont="1" applyBorder="1"/>
    <xf numFmtId="0" fontId="0" fillId="0" borderId="1" xfId="0" applyBorder="1"/>
    <xf numFmtId="164" fontId="5" fillId="0" borderId="1" xfId="0" applyNumberFormat="1" applyFont="1" applyBorder="1"/>
    <xf numFmtId="164" fontId="7" fillId="0" borderId="1" xfId="0" applyNumberFormat="1" applyFont="1" applyBorder="1"/>
    <xf numFmtId="0" fontId="7" fillId="4" borderId="1" xfId="0" applyFont="1" applyFill="1" applyBorder="1"/>
    <xf numFmtId="0" fontId="0" fillId="4" borderId="1" xfId="0" applyFill="1" applyBorder="1"/>
    <xf numFmtId="164" fontId="7" fillId="4" borderId="1" xfId="0" applyNumberFormat="1" applyFont="1" applyFill="1" applyBorder="1"/>
    <xf numFmtId="165" fontId="8" fillId="0" borderId="0" xfId="0" applyNumberFormat="1" applyFont="1"/>
    <xf numFmtId="0" fontId="7" fillId="5" borderId="1" xfId="0" applyFont="1" applyFill="1" applyBorder="1"/>
    <xf numFmtId="0" fontId="0" fillId="5" borderId="1" xfId="0" applyFill="1" applyBorder="1"/>
    <xf numFmtId="164" fontId="7" fillId="5" borderId="1" xfId="0" applyNumberFormat="1" applyFont="1" applyFill="1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164" fontId="13" fillId="0" borderId="0" xfId="0" applyNumberFormat="1" applyFont="1"/>
    <xf numFmtId="164" fontId="7" fillId="0" borderId="0" xfId="0" applyNumberFormat="1" applyFont="1"/>
    <xf numFmtId="0" fontId="14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L18" sqref="L18"/>
    </sheetView>
  </sheetViews>
  <sheetFormatPr defaultColWidth="8.7109375" defaultRowHeight="15" x14ac:dyDescent="0.25"/>
  <cols>
    <col min="1" max="1" width="42" customWidth="1"/>
    <col min="2" max="2" width="2" customWidth="1"/>
    <col min="3" max="8" width="13" customWidth="1"/>
  </cols>
  <sheetData>
    <row r="1" spans="1:8" ht="18" x14ac:dyDescent="0.25">
      <c r="A1" s="1" t="s">
        <v>0</v>
      </c>
    </row>
    <row r="2" spans="1:8" x14ac:dyDescent="0.25">
      <c r="A2" s="2" t="s">
        <v>1</v>
      </c>
    </row>
    <row r="4" spans="1:8" x14ac:dyDescent="0.25">
      <c r="A4" s="3"/>
      <c r="B4" s="3"/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</row>
    <row r="5" spans="1:8" x14ac:dyDescent="0.25">
      <c r="A5" s="5" t="s">
        <v>8</v>
      </c>
      <c r="B5" s="6"/>
      <c r="C5" s="6"/>
      <c r="D5" s="6"/>
      <c r="E5" s="6"/>
      <c r="F5" s="6"/>
      <c r="G5" s="6"/>
      <c r="H5" s="6"/>
    </row>
    <row r="6" spans="1:8" x14ac:dyDescent="0.25">
      <c r="A6" s="7" t="s">
        <v>9</v>
      </c>
      <c r="C6" s="8">
        <f>SUMIF(Data!$A:$A,"REV_RETAIL",Data!$D:$D)</f>
        <v>2696575.74</v>
      </c>
      <c r="D6" s="8">
        <f>SUMIF(Data!$A:$A,"REV_RETAIL",Data!$E:$E)</f>
        <v>2680292.56</v>
      </c>
      <c r="E6" s="8">
        <f>SUMIF(Data!$A:$A,"REV_RETAIL",Data!$F:$F)</f>
        <v>3786003.53</v>
      </c>
      <c r="F6" s="8">
        <f>SUMIF(Data!$A:$A,"REV_RETAIL",Data!$G:$G)</f>
        <v>5118052.59</v>
      </c>
      <c r="G6" s="8">
        <f>SUMIF(Data!$A:$A,"REV_RETAIL",Data!$H:$H)</f>
        <v>5797503.8799999999</v>
      </c>
      <c r="H6" s="9">
        <f>SUM(C6:G6)</f>
        <v>20078428.300000001</v>
      </c>
    </row>
    <row r="7" spans="1:8" x14ac:dyDescent="0.25">
      <c r="A7" s="7" t="s">
        <v>10</v>
      </c>
      <c r="C7" s="8">
        <f>SUMIF(Data!$A:$A,"REV_B2B",Data!$D:$D)</f>
        <v>776585.4</v>
      </c>
      <c r="D7" s="8">
        <f>SUMIF(Data!$A:$A,"REV_B2B",Data!$E:$E)</f>
        <v>645280.69999999995</v>
      </c>
      <c r="E7" s="8">
        <f>SUMIF(Data!$A:$A,"REV_B2B",Data!$F:$F)</f>
        <v>1890097.9</v>
      </c>
      <c r="F7" s="8">
        <f>SUMIF(Data!$A:$A,"REV_B2B",Data!$G:$G)</f>
        <v>1102775.3500000001</v>
      </c>
      <c r="G7" s="8">
        <f>SUMIF(Data!$A:$A,"REV_B2B",Data!$H:$H)</f>
        <v>1752000.74</v>
      </c>
      <c r="H7" s="9">
        <f>SUM(C7:G7)</f>
        <v>6166740.0899999999</v>
      </c>
    </row>
    <row r="8" spans="1:8" x14ac:dyDescent="0.25">
      <c r="A8" s="7" t="s">
        <v>11</v>
      </c>
      <c r="C8" s="8">
        <f>SUMIF(Data!$A:$A,"REV_OTHER",Data!$D:$D)</f>
        <v>21000</v>
      </c>
      <c r="D8" s="8">
        <f>SUMIF(Data!$A:$A,"REV_OTHER",Data!$E:$E)</f>
        <v>17155</v>
      </c>
      <c r="E8" s="8">
        <f>SUMIF(Data!$A:$A,"REV_OTHER",Data!$F:$F)</f>
        <v>308075</v>
      </c>
      <c r="F8" s="8">
        <f>SUMIF(Data!$A:$A,"REV_OTHER",Data!$G:$G)</f>
        <v>25600</v>
      </c>
      <c r="G8" s="8">
        <f>SUMIF(Data!$A:$A,"REV_OTHER",Data!$H:$H)</f>
        <v>37377</v>
      </c>
      <c r="H8" s="9">
        <f>SUM(C8:G8)</f>
        <v>409207</v>
      </c>
    </row>
    <row r="9" spans="1:8" x14ac:dyDescent="0.25">
      <c r="A9" s="10" t="s">
        <v>12</v>
      </c>
      <c r="B9" s="11"/>
      <c r="C9" s="12">
        <f>C6+C7+C8</f>
        <v>3494161.14</v>
      </c>
      <c r="D9" s="12">
        <f>D6+D7+D8</f>
        <v>3342728.26</v>
      </c>
      <c r="E9" s="12">
        <f>E6+E7+E8</f>
        <v>5984176.4299999997</v>
      </c>
      <c r="F9" s="12">
        <f>F6+F7+F8</f>
        <v>6246427.9399999995</v>
      </c>
      <c r="G9" s="12">
        <f>G6+G7+G8</f>
        <v>7586881.6200000001</v>
      </c>
      <c r="H9" s="13">
        <f>SUM(C9:G9)</f>
        <v>26654375.390000001</v>
      </c>
    </row>
    <row r="11" spans="1:8" x14ac:dyDescent="0.25">
      <c r="A11" s="5" t="s">
        <v>13</v>
      </c>
      <c r="B11" s="6"/>
      <c r="C11" s="6"/>
      <c r="D11" s="6"/>
      <c r="E11" s="6"/>
      <c r="F11" s="6"/>
      <c r="G11" s="6"/>
      <c r="H11" s="6"/>
    </row>
    <row r="12" spans="1:8" x14ac:dyDescent="0.25">
      <c r="A12" s="7" t="s">
        <v>14</v>
      </c>
      <c r="C12" s="8">
        <f>SUMIF(Data!$A:$A,"COGS_SUP",Data!$D:$D)</f>
        <v>1930393.5</v>
      </c>
      <c r="D12" s="8">
        <f>SUMIF(Data!$A:$A,"COGS_SUP",Data!$E:$E)</f>
        <v>2685411.28</v>
      </c>
      <c r="E12" s="8">
        <f>SUMIF(Data!$A:$A,"COGS_SUP",Data!$F:$F)</f>
        <v>3278858.53</v>
      </c>
      <c r="F12" s="8">
        <f>SUMIF(Data!$A:$A,"COGS_SUP",Data!$G:$G)</f>
        <v>3948901.81</v>
      </c>
      <c r="G12" s="8">
        <f>SUMIF(Data!$A:$A,"COGS_SUP",Data!$H:$H)</f>
        <v>2558170.12</v>
      </c>
      <c r="H12" s="9">
        <f>SUM(C12:G12)</f>
        <v>14401735.239999998</v>
      </c>
    </row>
    <row r="13" spans="1:8" x14ac:dyDescent="0.25">
      <c r="A13" s="7" t="s">
        <v>15</v>
      </c>
      <c r="C13" s="8">
        <f>SUMIF(Data!$A:$A,"COGS_IMPORT",Data!$D:$D)</f>
        <v>24093</v>
      </c>
      <c r="D13" s="8">
        <f>SUMIF(Data!$A:$A,"COGS_IMPORT",Data!$E:$E)</f>
        <v>2041700.7</v>
      </c>
      <c r="E13" s="8">
        <f>SUMIF(Data!$A:$A,"COGS_IMPORT",Data!$F:$F)</f>
        <v>622040</v>
      </c>
      <c r="F13" s="8">
        <f>SUMIF(Data!$A:$A,"COGS_IMPORT",Data!$G:$G)</f>
        <v>48800</v>
      </c>
      <c r="G13" s="8">
        <f>SUMIF(Data!$A:$A,"COGS_IMPORT",Data!$H:$H)</f>
        <v>1569799.8</v>
      </c>
      <c r="H13" s="9">
        <f>SUM(C13:G13)</f>
        <v>4306433.5</v>
      </c>
    </row>
    <row r="14" spans="1:8" x14ac:dyDescent="0.25">
      <c r="A14" s="10" t="s">
        <v>16</v>
      </c>
      <c r="B14" s="11"/>
      <c r="C14" s="12">
        <f>C12+C13</f>
        <v>1954486.5</v>
      </c>
      <c r="D14" s="12">
        <f>D12+D13</f>
        <v>4727111.9799999995</v>
      </c>
      <c r="E14" s="12">
        <f>E12+E13</f>
        <v>3900898.53</v>
      </c>
      <c r="F14" s="12">
        <f>F12+F13</f>
        <v>3997701.81</v>
      </c>
      <c r="G14" s="12">
        <f>G12+G13</f>
        <v>4127969.92</v>
      </c>
      <c r="H14" s="13">
        <f>SUM(C14:G14)</f>
        <v>18708168.740000002</v>
      </c>
    </row>
    <row r="16" spans="1:8" x14ac:dyDescent="0.25">
      <c r="A16" s="14" t="s">
        <v>17</v>
      </c>
      <c r="B16" s="15"/>
      <c r="C16" s="16">
        <f>C9-C14</f>
        <v>1539674.6400000001</v>
      </c>
      <c r="D16" s="16">
        <f>D9-D14</f>
        <v>-1384383.7199999997</v>
      </c>
      <c r="E16" s="16">
        <f>E9-E14</f>
        <v>2083277.9</v>
      </c>
      <c r="F16" s="16">
        <f>F9-F14</f>
        <v>2248726.1299999994</v>
      </c>
      <c r="G16" s="16">
        <f>G9-G14</f>
        <v>3458911.7</v>
      </c>
      <c r="H16" s="16">
        <f>SUM(C16:G16)</f>
        <v>7946206.6499999994</v>
      </c>
    </row>
    <row r="17" spans="1:8" x14ac:dyDescent="0.25">
      <c r="A17" t="s">
        <v>18</v>
      </c>
      <c r="C17" s="17">
        <f t="shared" ref="C17:H17" si="0">IF(C9=0,0,C16/C9)</f>
        <v>0.44064213936052188</v>
      </c>
      <c r="D17" s="17">
        <f t="shared" si="0"/>
        <v>-0.41414784939772514</v>
      </c>
      <c r="E17" s="17">
        <f t="shared" si="0"/>
        <v>0.3481310961281267</v>
      </c>
      <c r="F17" s="17">
        <f t="shared" si="0"/>
        <v>0.36000193256051549</v>
      </c>
      <c r="G17" s="17">
        <f t="shared" si="0"/>
        <v>0.45590690263070166</v>
      </c>
      <c r="H17" s="17">
        <f t="shared" si="0"/>
        <v>0.29812015977613943</v>
      </c>
    </row>
    <row r="19" spans="1:8" x14ac:dyDescent="0.25">
      <c r="A19" s="5" t="s">
        <v>19</v>
      </c>
      <c r="B19" s="6"/>
      <c r="C19" s="6"/>
      <c r="D19" s="6"/>
      <c r="E19" s="6"/>
      <c r="F19" s="6"/>
      <c r="G19" s="6"/>
      <c r="H19" s="6"/>
    </row>
    <row r="20" spans="1:8" x14ac:dyDescent="0.25">
      <c r="A20" s="7" t="s">
        <v>20</v>
      </c>
      <c r="C20" s="8">
        <f>SUMIF(Data!$A:$A,"OPEX_PAYROLL",Data!$D:$D)</f>
        <v>652355</v>
      </c>
      <c r="D20" s="8">
        <f>SUMIF(Data!$A:$A,"OPEX_PAYROLL",Data!$E:$E)</f>
        <v>721554.41</v>
      </c>
      <c r="E20" s="8">
        <f>SUMIF(Data!$A:$A,"OPEX_PAYROLL",Data!$F:$F)</f>
        <v>847586.51</v>
      </c>
      <c r="F20" s="8">
        <f>SUMIF(Data!$A:$A,"OPEX_PAYROLL",Data!$G:$G)</f>
        <v>1027262.9</v>
      </c>
      <c r="G20" s="8">
        <f>SUMIF(Data!$A:$A,"OPEX_PAYROLL",Data!$H:$H)</f>
        <v>1121320.0499999998</v>
      </c>
      <c r="H20" s="9">
        <f t="shared" ref="H20:H26" si="1">SUM(C20:G20)</f>
        <v>4370078.8699999992</v>
      </c>
    </row>
    <row r="21" spans="1:8" x14ac:dyDescent="0.25">
      <c r="A21" s="7" t="s">
        <v>21</v>
      </c>
      <c r="C21" s="8">
        <f>SUMIF(Data!$A:$A,"OPEX_RENT",Data!$D:$D)</f>
        <v>69601.59</v>
      </c>
      <c r="D21" s="8">
        <f>SUMIF(Data!$A:$A,"OPEX_RENT",Data!$E:$E)</f>
        <v>62454.740000000005</v>
      </c>
      <c r="E21" s="8">
        <f>SUMIF(Data!$A:$A,"OPEX_RENT",Data!$F:$F)</f>
        <v>60442.979999999996</v>
      </c>
      <c r="F21" s="8">
        <f>SUMIF(Data!$A:$A,"OPEX_RENT",Data!$G:$G)</f>
        <v>29852.02</v>
      </c>
      <c r="G21" s="8">
        <f>SUMIF(Data!$A:$A,"OPEX_RENT",Data!$H:$H)</f>
        <v>41506.97</v>
      </c>
      <c r="H21" s="9">
        <f t="shared" si="1"/>
        <v>263858.3</v>
      </c>
    </row>
    <row r="22" spans="1:8" x14ac:dyDescent="0.25">
      <c r="A22" s="7" t="s">
        <v>22</v>
      </c>
      <c r="C22" s="8">
        <f>SUMIF(Data!$A:$A,"OPEX_MKT",Data!$D:$D)</f>
        <v>20000</v>
      </c>
      <c r="D22" s="8">
        <f>SUMIF(Data!$A:$A,"OPEX_MKT",Data!$E:$E)</f>
        <v>2400</v>
      </c>
      <c r="E22" s="8">
        <f>SUMIF(Data!$A:$A,"OPEX_MKT",Data!$F:$F)</f>
        <v>69486</v>
      </c>
      <c r="F22" s="8">
        <f>SUMIF(Data!$A:$A,"OPEX_MKT",Data!$G:$G)</f>
        <v>80237</v>
      </c>
      <c r="G22" s="8">
        <f>SUMIF(Data!$A:$A,"OPEX_MKT",Data!$H:$H)</f>
        <v>55814</v>
      </c>
      <c r="H22" s="9">
        <f t="shared" si="1"/>
        <v>227937</v>
      </c>
    </row>
    <row r="23" spans="1:8" x14ac:dyDescent="0.25">
      <c r="A23" s="7" t="s">
        <v>23</v>
      </c>
      <c r="C23" s="8">
        <f>SUMIF(Data!$A:$A,"OPEX_BANK",Data!$D:$D)</f>
        <v>35150.97</v>
      </c>
      <c r="D23" s="8">
        <f>SUMIF(Data!$A:$A,"OPEX_BANK",Data!$E:$E)</f>
        <v>23119.07</v>
      </c>
      <c r="E23" s="8">
        <f>SUMIF(Data!$A:$A,"OPEX_BANK",Data!$F:$F)</f>
        <v>31670.83</v>
      </c>
      <c r="F23" s="8">
        <f>SUMIF(Data!$A:$A,"OPEX_BANK",Data!$G:$G)</f>
        <v>53610.61</v>
      </c>
      <c r="G23" s="8">
        <f>SUMIF(Data!$A:$A,"OPEX_BANK",Data!$H:$H)</f>
        <v>47713.27</v>
      </c>
      <c r="H23" s="9">
        <f t="shared" si="1"/>
        <v>191264.74999999997</v>
      </c>
    </row>
    <row r="24" spans="1:8" x14ac:dyDescent="0.25">
      <c r="A24" s="7" t="s">
        <v>24</v>
      </c>
      <c r="C24" s="8">
        <f>SUMIF(Data!$A:$A,"OPEX_SERV",Data!$D:$D)</f>
        <v>41300</v>
      </c>
      <c r="D24" s="8">
        <f>SUMIF(Data!$A:$A,"OPEX_SERV",Data!$E:$E)</f>
        <v>112422</v>
      </c>
      <c r="E24" s="8">
        <f>SUMIF(Data!$A:$A,"OPEX_SERV",Data!$F:$F)</f>
        <v>50809</v>
      </c>
      <c r="F24" s="8">
        <f>SUMIF(Data!$A:$A,"OPEX_SERV",Data!$G:$G)</f>
        <v>45126.62</v>
      </c>
      <c r="G24" s="8">
        <f>SUMIF(Data!$A:$A,"OPEX_SERV",Data!$H:$H)</f>
        <v>10180</v>
      </c>
      <c r="H24" s="9">
        <f t="shared" si="1"/>
        <v>259837.62</v>
      </c>
    </row>
    <row r="25" spans="1:8" x14ac:dyDescent="0.25">
      <c r="A25" s="7" t="s">
        <v>25</v>
      </c>
      <c r="C25" s="8">
        <f>SUMIF(Data!$A:$A,"OPEX_CONS",Data!$D:$D)</f>
        <v>6950</v>
      </c>
      <c r="D25" s="8">
        <f>SUMIF(Data!$A:$A,"OPEX_CONS",Data!$E:$E)</f>
        <v>36155</v>
      </c>
      <c r="E25" s="8">
        <f>SUMIF(Data!$A:$A,"OPEX_CONS",Data!$F:$F)</f>
        <v>4180</v>
      </c>
      <c r="F25" s="8">
        <f>SUMIF(Data!$A:$A,"OPEX_CONS",Data!$G:$G)</f>
        <v>5530</v>
      </c>
      <c r="G25" s="8">
        <f>SUMIF(Data!$A:$A,"OPEX_CONS",Data!$H:$H)</f>
        <v>1760</v>
      </c>
      <c r="H25" s="9">
        <f t="shared" si="1"/>
        <v>54575</v>
      </c>
    </row>
    <row r="26" spans="1:8" x14ac:dyDescent="0.25">
      <c r="A26" s="10" t="s">
        <v>26</v>
      </c>
      <c r="B26" s="11"/>
      <c r="C26" s="12">
        <f>C20+C21+C22+C23+C24+C25</f>
        <v>825357.55999999994</v>
      </c>
      <c r="D26" s="12">
        <f>D20+D21+D22+D23+D24+D25</f>
        <v>958105.22</v>
      </c>
      <c r="E26" s="12">
        <f>E20+E21+E22+E23+E24+E25</f>
        <v>1064175.3199999998</v>
      </c>
      <c r="F26" s="12">
        <f>F20+F21+F22+F23+F24+F25</f>
        <v>1241619.1500000001</v>
      </c>
      <c r="G26" s="12">
        <f>G20+G21+G22+G23+G24+G25</f>
        <v>1278294.2899999998</v>
      </c>
      <c r="H26" s="13">
        <f t="shared" si="1"/>
        <v>5367551.54</v>
      </c>
    </row>
    <row r="28" spans="1:8" x14ac:dyDescent="0.25">
      <c r="A28" s="14" t="s">
        <v>27</v>
      </c>
      <c r="B28" s="15"/>
      <c r="C28" s="16">
        <f>C16-C26</f>
        <v>714317.08000000019</v>
      </c>
      <c r="D28" s="16">
        <f>D16-D26</f>
        <v>-2342488.9399999995</v>
      </c>
      <c r="E28" s="16">
        <f>E16-E26</f>
        <v>1019102.5800000001</v>
      </c>
      <c r="F28" s="16">
        <f>F16-F26</f>
        <v>1007106.9799999993</v>
      </c>
      <c r="G28" s="16">
        <f>G16-G26</f>
        <v>2180617.41</v>
      </c>
      <c r="H28" s="16">
        <f>SUM(C28:G28)</f>
        <v>2578655.1100000003</v>
      </c>
    </row>
    <row r="29" spans="1:8" x14ac:dyDescent="0.25">
      <c r="A29" t="s">
        <v>28</v>
      </c>
      <c r="C29" s="17">
        <f t="shared" ref="C29:H29" si="2">IF(C9=0,0,C28/C9)</f>
        <v>0.20443163648714843</v>
      </c>
      <c r="D29" s="17">
        <f t="shared" si="2"/>
        <v>-0.70077157273920898</v>
      </c>
      <c r="E29" s="17">
        <f t="shared" si="2"/>
        <v>0.17029955448689874</v>
      </c>
      <c r="F29" s="17">
        <f t="shared" si="2"/>
        <v>0.16122926409681745</v>
      </c>
      <c r="G29" s="17">
        <f t="shared" si="2"/>
        <v>0.2874194589054363</v>
      </c>
      <c r="H29" s="17">
        <f t="shared" si="2"/>
        <v>9.6744158220546481E-2</v>
      </c>
    </row>
    <row r="30" spans="1:8" x14ac:dyDescent="0.25">
      <c r="A30" s="7" t="s">
        <v>29</v>
      </c>
      <c r="C30" s="8">
        <f>SUMIF(Data!$A:$A,"TAX",Data!$D:$D)</f>
        <v>92671</v>
      </c>
      <c r="D30" s="8">
        <f>SUMIF(Data!$A:$A,"TAX",Data!$E:$E)</f>
        <v>100020</v>
      </c>
      <c r="E30" s="8">
        <f>SUMIF(Data!$A:$A,"TAX",Data!$F:$F)</f>
        <v>248968.44</v>
      </c>
      <c r="F30" s="8">
        <f>SUMIF(Data!$A:$A,"TAX",Data!$G:$G)</f>
        <v>145209.76999999999</v>
      </c>
      <c r="G30" s="8">
        <f>SUMIF(Data!$A:$A,"TAX",Data!$H:$H)</f>
        <v>154846.41</v>
      </c>
      <c r="H30" s="9">
        <f>SUM(C30:G30)</f>
        <v>741715.62</v>
      </c>
    </row>
    <row r="31" spans="1:8" x14ac:dyDescent="0.25">
      <c r="A31" s="10" t="s">
        <v>30</v>
      </c>
      <c r="B31" s="11"/>
      <c r="C31" s="12">
        <f>C28-C30</f>
        <v>621646.08000000019</v>
      </c>
      <c r="D31" s="12">
        <f>D28-D30</f>
        <v>-2442508.9399999995</v>
      </c>
      <c r="E31" s="12">
        <f>E28-E30</f>
        <v>770134.14000000013</v>
      </c>
      <c r="F31" s="12">
        <f>F28-F30</f>
        <v>861897.20999999926</v>
      </c>
      <c r="G31" s="12">
        <f>G28-G30</f>
        <v>2025771.0000000002</v>
      </c>
      <c r="H31" s="13">
        <f>SUM(C31:G31)</f>
        <v>1836939.4900000002</v>
      </c>
    </row>
    <row r="33" spans="1:8" x14ac:dyDescent="0.25">
      <c r="A33" s="5" t="s">
        <v>31</v>
      </c>
      <c r="B33" s="6"/>
      <c r="C33" s="6"/>
      <c r="D33" s="6"/>
      <c r="E33" s="6"/>
      <c r="F33" s="6"/>
      <c r="G33" s="6"/>
      <c r="H33" s="6"/>
    </row>
    <row r="34" spans="1:8" x14ac:dyDescent="0.25">
      <c r="A34" s="7" t="s">
        <v>32</v>
      </c>
      <c r="C34" s="8">
        <f>SUMIF(Data!$A:$A,"NONOP_OTHER",Data!$D:$D)</f>
        <v>0</v>
      </c>
      <c r="D34" s="8">
        <f>SUMIF(Data!$A:$A,"NONOP_OTHER",Data!$E:$E)</f>
        <v>20000</v>
      </c>
      <c r="E34" s="8">
        <f>SUMIF(Data!$A:$A,"NONOP_OTHER",Data!$F:$F)</f>
        <v>5000</v>
      </c>
      <c r="F34" s="8">
        <f>SUMIF(Data!$A:$A,"NONOP_OTHER",Data!$G:$G)</f>
        <v>152000</v>
      </c>
      <c r="G34" s="8">
        <f>SUMIF(Data!$A:$A,"NONOP_OTHER",Data!$H:$H)</f>
        <v>25000</v>
      </c>
      <c r="H34" s="9">
        <f>SUM(C34:G34)</f>
        <v>202000</v>
      </c>
    </row>
    <row r="35" spans="1:8" x14ac:dyDescent="0.25">
      <c r="A35" s="7" t="s">
        <v>33</v>
      </c>
      <c r="C35" s="8">
        <f>SUMIF(Data!$A:$A,"NONOP_UNCL",Data!$D:$D)</f>
        <v>0</v>
      </c>
      <c r="D35" s="8">
        <f>SUMIF(Data!$A:$A,"NONOP_UNCL",Data!$E:$E)</f>
        <v>131660</v>
      </c>
      <c r="E35" s="8">
        <f>SUMIF(Data!$A:$A,"NONOP_UNCL",Data!$F:$F)</f>
        <v>9600</v>
      </c>
      <c r="F35" s="8">
        <f>SUMIF(Data!$A:$A,"NONOP_UNCL",Data!$G:$G)</f>
        <v>2120</v>
      </c>
      <c r="G35" s="8">
        <f>SUMIF(Data!$A:$A,"NONOP_UNCL",Data!$H:$H)</f>
        <v>660</v>
      </c>
      <c r="H35" s="9">
        <f>SUM(C35:G35)</f>
        <v>144040</v>
      </c>
    </row>
    <row r="37" spans="1:8" x14ac:dyDescent="0.25">
      <c r="A37" s="18" t="s">
        <v>34</v>
      </c>
      <c r="B37" s="19"/>
      <c r="C37" s="20">
        <f>C31-C34-C35</f>
        <v>621646.08000000019</v>
      </c>
      <c r="D37" s="20">
        <f>D31-D34-D35</f>
        <v>-2594168.9399999995</v>
      </c>
      <c r="E37" s="20">
        <f>E31-E34-E35</f>
        <v>755534.14000000013</v>
      </c>
      <c r="F37" s="20">
        <f>F31-F34-F35</f>
        <v>707777.20999999926</v>
      </c>
      <c r="G37" s="20">
        <f>G31-G34-G35</f>
        <v>2000111.0000000002</v>
      </c>
      <c r="H37" s="20">
        <f>SUM(C37:G37)</f>
        <v>1490899.4900000002</v>
      </c>
    </row>
    <row r="38" spans="1:8" x14ac:dyDescent="0.25">
      <c r="A38" t="s">
        <v>35</v>
      </c>
      <c r="C38" s="17">
        <f t="shared" ref="C38:H38" si="3">IF(C9=0,0,C37/C9)</f>
        <v>0.17790996324800298</v>
      </c>
      <c r="D38" s="17">
        <f t="shared" si="3"/>
        <v>-0.77606336448060531</v>
      </c>
      <c r="E38" s="17">
        <f t="shared" si="3"/>
        <v>0.12625532499548983</v>
      </c>
      <c r="F38" s="17">
        <f t="shared" si="3"/>
        <v>0.1133091131120932</v>
      </c>
      <c r="G38" s="17">
        <f t="shared" si="3"/>
        <v>0.2636275482047129</v>
      </c>
      <c r="H38" s="17">
        <f t="shared" si="3"/>
        <v>5.5934512371253887E-2</v>
      </c>
    </row>
    <row r="40" spans="1:8" x14ac:dyDescent="0.25">
      <c r="A40" s="21" t="s">
        <v>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H25" sqref="H25"/>
    </sheetView>
  </sheetViews>
  <sheetFormatPr defaultColWidth="8.7109375" defaultRowHeight="15" x14ac:dyDescent="0.25"/>
  <cols>
    <col min="1" max="1" width="42" customWidth="1"/>
    <col min="2" max="2" width="2" customWidth="1"/>
    <col min="3" max="8" width="13" customWidth="1"/>
  </cols>
  <sheetData>
    <row r="1" spans="1:8" ht="18" x14ac:dyDescent="0.25">
      <c r="A1" s="1" t="s">
        <v>37</v>
      </c>
    </row>
    <row r="2" spans="1:8" x14ac:dyDescent="0.25">
      <c r="A2" s="2" t="s">
        <v>38</v>
      </c>
    </row>
    <row r="4" spans="1:8" x14ac:dyDescent="0.25">
      <c r="A4" s="3"/>
      <c r="B4" s="3"/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</row>
    <row r="5" spans="1:8" x14ac:dyDescent="0.25">
      <c r="A5" s="5" t="s">
        <v>39</v>
      </c>
      <c r="B5" s="6"/>
      <c r="C5" s="6"/>
      <c r="D5" s="6"/>
      <c r="E5" s="6"/>
      <c r="F5" s="6"/>
      <c r="G5" s="6"/>
      <c r="H5" s="6"/>
    </row>
    <row r="6" spans="1:8" x14ac:dyDescent="0.25">
      <c r="A6" s="7" t="s">
        <v>40</v>
      </c>
      <c r="C6" s="8">
        <f>SUMIF(Data!$A:$A,"REV_RETAIL",Data!$D:$D)+SUMIF(Data!$A:$A,"REV_B2B",Data!$D:$D)+SUMIF(Data!$A:$A,"REV_OTHER",Data!$D:$D)</f>
        <v>3494161.14</v>
      </c>
      <c r="D6" s="8">
        <f>SUMIF(Data!$A:$A,"REV_RETAIL",Data!$E:$E)+SUMIF(Data!$A:$A,"REV_B2B",Data!$E:$E)+SUMIF(Data!$A:$A,"REV_OTHER",Data!$E:$E)</f>
        <v>3342728.26</v>
      </c>
      <c r="E6" s="8">
        <f>SUMIF(Data!$A:$A,"REV_RETAIL",Data!$F:$F)+SUMIF(Data!$A:$A,"REV_B2B",Data!$F:$F)+SUMIF(Data!$A:$A,"REV_OTHER",Data!$F:$F)</f>
        <v>5984176.4299999997</v>
      </c>
      <c r="F6" s="8">
        <f>SUMIF(Data!$A:$A,"REV_RETAIL",Data!$G:$G)+SUMIF(Data!$A:$A,"REV_B2B",Data!$G:$G)+SUMIF(Data!$A:$A,"REV_OTHER",Data!$G:$G)</f>
        <v>6246427.9399999995</v>
      </c>
      <c r="G6" s="8">
        <f>SUMIF(Data!$A:$A,"REV_RETAIL",Data!$H:$H)+SUMIF(Data!$A:$A,"REV_B2B",Data!$H:$H)+SUMIF(Data!$A:$A,"REV_OTHER",Data!$H:$H)</f>
        <v>7586881.6200000001</v>
      </c>
      <c r="H6" s="9">
        <f t="shared" ref="H6:H18" si="0">SUM(C6:G6)</f>
        <v>26654375.390000001</v>
      </c>
    </row>
    <row r="7" spans="1:8" x14ac:dyDescent="0.25">
      <c r="A7" s="7" t="s">
        <v>41</v>
      </c>
      <c r="C7" s="8">
        <f>-SUMIF(Data!$A:$A,"COGS_SUP",Data!$D:$D)</f>
        <v>-1930393.5</v>
      </c>
      <c r="D7" s="8">
        <f>-SUMIF(Data!$A:$A,"COGS_SUP",Data!$E:$E)</f>
        <v>-2685411.28</v>
      </c>
      <c r="E7" s="8">
        <f>-SUMIF(Data!$A:$A,"COGS_SUP",Data!$F:$F)</f>
        <v>-3278858.53</v>
      </c>
      <c r="F7" s="8">
        <f>-SUMIF(Data!$A:$A,"COGS_SUP",Data!$G:$G)</f>
        <v>-3948901.81</v>
      </c>
      <c r="G7" s="8">
        <f>-SUMIF(Data!$A:$A,"COGS_SUP",Data!$H:$H)</f>
        <v>-2558170.12</v>
      </c>
      <c r="H7" s="9">
        <f t="shared" si="0"/>
        <v>-14401735.239999998</v>
      </c>
    </row>
    <row r="8" spans="1:8" x14ac:dyDescent="0.25">
      <c r="A8" s="7" t="s">
        <v>15</v>
      </c>
      <c r="C8" s="8">
        <f>-SUMIF(Data!$A:$A,"COGS_IMPORT",Data!$D:$D)</f>
        <v>-24093</v>
      </c>
      <c r="D8" s="8">
        <f>-SUMIF(Data!$A:$A,"COGS_IMPORT",Data!$E:$E)</f>
        <v>-2041700.7</v>
      </c>
      <c r="E8" s="8">
        <f>-SUMIF(Data!$A:$A,"COGS_IMPORT",Data!$F:$F)</f>
        <v>-622040</v>
      </c>
      <c r="F8" s="8">
        <f>-SUMIF(Data!$A:$A,"COGS_IMPORT",Data!$G:$G)</f>
        <v>-48800</v>
      </c>
      <c r="G8" s="8">
        <f>-SUMIF(Data!$A:$A,"COGS_IMPORT",Data!$H:$H)</f>
        <v>-1569799.8</v>
      </c>
      <c r="H8" s="9">
        <f t="shared" si="0"/>
        <v>-4306433.5</v>
      </c>
    </row>
    <row r="9" spans="1:8" x14ac:dyDescent="0.25">
      <c r="A9" s="7" t="s">
        <v>42</v>
      </c>
      <c r="C9" s="8">
        <f>-SUMIF(Data!$A:$A,"OPEX_PAYROLL",Data!$D:$D)</f>
        <v>-652355</v>
      </c>
      <c r="D9" s="8">
        <f>-SUMIF(Data!$A:$A,"OPEX_PAYROLL",Data!$E:$E)</f>
        <v>-721554.41</v>
      </c>
      <c r="E9" s="8">
        <f>-SUMIF(Data!$A:$A,"OPEX_PAYROLL",Data!$F:$F)</f>
        <v>-847586.51</v>
      </c>
      <c r="F9" s="8">
        <f>-SUMIF(Data!$A:$A,"OPEX_PAYROLL",Data!$G:$G)</f>
        <v>-1027262.9</v>
      </c>
      <c r="G9" s="8">
        <f>-SUMIF(Data!$A:$A,"OPEX_PAYROLL",Data!$H:$H)</f>
        <v>-1121320.0499999998</v>
      </c>
      <c r="H9" s="9">
        <f t="shared" si="0"/>
        <v>-4370078.8699999992</v>
      </c>
    </row>
    <row r="10" spans="1:8" x14ac:dyDescent="0.25">
      <c r="A10" s="7" t="s">
        <v>21</v>
      </c>
      <c r="C10" s="8">
        <f>-SUMIF(Data!$A:$A,"OPEX_RENT",Data!$D:$D)</f>
        <v>-69601.59</v>
      </c>
      <c r="D10" s="8">
        <f>-SUMIF(Data!$A:$A,"OPEX_RENT",Data!$E:$E)</f>
        <v>-62454.740000000005</v>
      </c>
      <c r="E10" s="8">
        <f>-SUMIF(Data!$A:$A,"OPEX_RENT",Data!$F:$F)</f>
        <v>-60442.979999999996</v>
      </c>
      <c r="F10" s="8">
        <f>-SUMIF(Data!$A:$A,"OPEX_RENT",Data!$G:$G)</f>
        <v>-29852.02</v>
      </c>
      <c r="G10" s="8">
        <f>-SUMIF(Data!$A:$A,"OPEX_RENT",Data!$H:$H)</f>
        <v>-41506.97</v>
      </c>
      <c r="H10" s="9">
        <f t="shared" si="0"/>
        <v>-263858.3</v>
      </c>
    </row>
    <row r="11" spans="1:8" x14ac:dyDescent="0.25">
      <c r="A11" s="7" t="s">
        <v>22</v>
      </c>
      <c r="C11" s="8">
        <f>-SUMIF(Data!$A:$A,"OPEX_MKT",Data!$D:$D)</f>
        <v>-20000</v>
      </c>
      <c r="D11" s="8">
        <f>-SUMIF(Data!$A:$A,"OPEX_MKT",Data!$E:$E)</f>
        <v>-2400</v>
      </c>
      <c r="E11" s="8">
        <f>-SUMIF(Data!$A:$A,"OPEX_MKT",Data!$F:$F)</f>
        <v>-69486</v>
      </c>
      <c r="F11" s="8">
        <f>-SUMIF(Data!$A:$A,"OPEX_MKT",Data!$G:$G)</f>
        <v>-80237</v>
      </c>
      <c r="G11" s="8">
        <f>-SUMIF(Data!$A:$A,"OPEX_MKT",Data!$H:$H)</f>
        <v>-55814</v>
      </c>
      <c r="H11" s="9">
        <f t="shared" si="0"/>
        <v>-227937</v>
      </c>
    </row>
    <row r="12" spans="1:8" x14ac:dyDescent="0.25">
      <c r="A12" s="7" t="s">
        <v>43</v>
      </c>
      <c r="C12" s="8">
        <f>-SUMIF(Data!$A:$A,"OPEX_BANK",Data!$D:$D)</f>
        <v>-35150.97</v>
      </c>
      <c r="D12" s="8">
        <f>-SUMIF(Data!$A:$A,"OPEX_BANK",Data!$E:$E)</f>
        <v>-23119.07</v>
      </c>
      <c r="E12" s="8">
        <f>-SUMIF(Data!$A:$A,"OPEX_BANK",Data!$F:$F)</f>
        <v>-31670.83</v>
      </c>
      <c r="F12" s="8">
        <f>-SUMIF(Data!$A:$A,"OPEX_BANK",Data!$G:$G)</f>
        <v>-53610.61</v>
      </c>
      <c r="G12" s="8">
        <f>-SUMIF(Data!$A:$A,"OPEX_BANK",Data!$H:$H)</f>
        <v>-47713.27</v>
      </c>
      <c r="H12" s="9">
        <f t="shared" si="0"/>
        <v>-191264.74999999997</v>
      </c>
    </row>
    <row r="13" spans="1:8" x14ac:dyDescent="0.25">
      <c r="A13" s="7" t="s">
        <v>24</v>
      </c>
      <c r="C13" s="8">
        <f>-SUMIF(Data!$A:$A,"OPEX_SERV",Data!$D:$D)</f>
        <v>-41300</v>
      </c>
      <c r="D13" s="8">
        <f>-SUMIF(Data!$A:$A,"OPEX_SERV",Data!$E:$E)</f>
        <v>-112422</v>
      </c>
      <c r="E13" s="8">
        <f>-SUMIF(Data!$A:$A,"OPEX_SERV",Data!$F:$F)</f>
        <v>-50809</v>
      </c>
      <c r="F13" s="8">
        <f>-SUMIF(Data!$A:$A,"OPEX_SERV",Data!$G:$G)</f>
        <v>-45126.62</v>
      </c>
      <c r="G13" s="8">
        <f>-SUMIF(Data!$A:$A,"OPEX_SERV",Data!$H:$H)</f>
        <v>-10180</v>
      </c>
      <c r="H13" s="9">
        <f t="shared" si="0"/>
        <v>-259837.62</v>
      </c>
    </row>
    <row r="14" spans="1:8" x14ac:dyDescent="0.25">
      <c r="A14" s="7" t="s">
        <v>25</v>
      </c>
      <c r="C14" s="8">
        <f>-SUMIF(Data!$A:$A,"OPEX_CONS",Data!$D:$D)</f>
        <v>-6950</v>
      </c>
      <c r="D14" s="8">
        <f>-SUMIF(Data!$A:$A,"OPEX_CONS",Data!$E:$E)</f>
        <v>-36155</v>
      </c>
      <c r="E14" s="8">
        <f>-SUMIF(Data!$A:$A,"OPEX_CONS",Data!$F:$F)</f>
        <v>-4180</v>
      </c>
      <c r="F14" s="8">
        <f>-SUMIF(Data!$A:$A,"OPEX_CONS",Data!$G:$G)</f>
        <v>-5530</v>
      </c>
      <c r="G14" s="8">
        <f>-SUMIF(Data!$A:$A,"OPEX_CONS",Data!$H:$H)</f>
        <v>-1760</v>
      </c>
      <c r="H14" s="9">
        <f t="shared" si="0"/>
        <v>-54575</v>
      </c>
    </row>
    <row r="15" spans="1:8" x14ac:dyDescent="0.25">
      <c r="A15" s="7" t="s">
        <v>29</v>
      </c>
      <c r="C15" s="8">
        <f>-SUMIF(Data!$A:$A,"TAX",Data!$D:$D)</f>
        <v>-92671</v>
      </c>
      <c r="D15" s="8">
        <f>-SUMIF(Data!$A:$A,"TAX",Data!$E:$E)</f>
        <v>-100020</v>
      </c>
      <c r="E15" s="8">
        <f>-SUMIF(Data!$A:$A,"TAX",Data!$F:$F)</f>
        <v>-248968.44</v>
      </c>
      <c r="F15" s="8">
        <f>-SUMIF(Data!$A:$A,"TAX",Data!$G:$G)</f>
        <v>-145209.76999999999</v>
      </c>
      <c r="G15" s="8">
        <f>-SUMIF(Data!$A:$A,"TAX",Data!$H:$H)</f>
        <v>-154846.41</v>
      </c>
      <c r="H15" s="9">
        <f t="shared" si="0"/>
        <v>-741715.62</v>
      </c>
    </row>
    <row r="16" spans="1:8" x14ac:dyDescent="0.25">
      <c r="A16" s="7" t="s">
        <v>32</v>
      </c>
      <c r="C16" s="8">
        <f>-SUMIF(Data!$A:$A,"NONOP_OTHER",Data!$D:$D)</f>
        <v>0</v>
      </c>
      <c r="D16" s="8">
        <f>-SUMIF(Data!$A:$A,"NONOP_OTHER",Data!$E:$E)</f>
        <v>-20000</v>
      </c>
      <c r="E16" s="8">
        <f>-SUMIF(Data!$A:$A,"NONOP_OTHER",Data!$F:$F)</f>
        <v>-5000</v>
      </c>
      <c r="F16" s="8">
        <f>-SUMIF(Data!$A:$A,"NONOP_OTHER",Data!$G:$G)</f>
        <v>-152000</v>
      </c>
      <c r="G16" s="8">
        <f>-SUMIF(Data!$A:$A,"NONOP_OTHER",Data!$H:$H)</f>
        <v>-25000</v>
      </c>
      <c r="H16" s="9">
        <f t="shared" si="0"/>
        <v>-202000</v>
      </c>
    </row>
    <row r="17" spans="1:8" x14ac:dyDescent="0.25">
      <c r="A17" s="7" t="s">
        <v>44</v>
      </c>
      <c r="C17" s="8">
        <f>-SUMIF(Data!$A:$A,"NONOP_UNCL",Data!$D:$D)</f>
        <v>0</v>
      </c>
      <c r="D17" s="8">
        <f>-SUMIF(Data!$A:$A,"NONOP_UNCL",Data!$E:$E)</f>
        <v>-131660</v>
      </c>
      <c r="E17" s="8">
        <f>-SUMIF(Data!$A:$A,"NONOP_UNCL",Data!$F:$F)</f>
        <v>-9600</v>
      </c>
      <c r="F17" s="8">
        <f>-SUMIF(Data!$A:$A,"NONOP_UNCL",Data!$G:$G)</f>
        <v>-2120</v>
      </c>
      <c r="G17" s="8">
        <f>-SUMIF(Data!$A:$A,"NONOP_UNCL",Data!$H:$H)</f>
        <v>-660</v>
      </c>
      <c r="H17" s="9">
        <f t="shared" si="0"/>
        <v>-144040</v>
      </c>
    </row>
    <row r="18" spans="1:8" x14ac:dyDescent="0.25">
      <c r="A18" s="14" t="s">
        <v>45</v>
      </c>
      <c r="B18" s="15"/>
      <c r="C18" s="16">
        <f>C6+C7+C8+C9+C10+C11+C12+C13+C14+C15+C16+C17</f>
        <v>621646.08000000019</v>
      </c>
      <c r="D18" s="16">
        <f>D6+D7+D8+D9+D10+D11+D12+D13+D14+D15+D16+D17</f>
        <v>-2594168.94</v>
      </c>
      <c r="E18" s="16">
        <f>E6+E7+E8+E9+E10+E11+E12+E13+E14+E15+E16+E17</f>
        <v>755534.1399999999</v>
      </c>
      <c r="F18" s="16">
        <f>F6+F7+F8+F9+F10+F11+F12+F13+F14+F15+F16+F17</f>
        <v>707777.20999999938</v>
      </c>
      <c r="G18" s="16">
        <f>G6+G7+G8+G9+G10+G11+G12+G13+G14+G15+G16+G17</f>
        <v>2000111.0000000002</v>
      </c>
      <c r="H18" s="16">
        <f t="shared" si="0"/>
        <v>1490899.4899999998</v>
      </c>
    </row>
    <row r="20" spans="1:8" x14ac:dyDescent="0.25">
      <c r="A20" s="5" t="s">
        <v>46</v>
      </c>
      <c r="B20" s="6"/>
      <c r="C20" s="6"/>
      <c r="D20" s="6"/>
      <c r="E20" s="6"/>
      <c r="F20" s="6"/>
      <c r="G20" s="6"/>
      <c r="H20" s="6"/>
    </row>
    <row r="21" spans="1:8" x14ac:dyDescent="0.25">
      <c r="A21" s="7" t="s">
        <v>47</v>
      </c>
      <c r="C21" s="8">
        <f>-SUMIF(Data!$A:$A,"CAPEX",Data!$D:$D)</f>
        <v>-12000</v>
      </c>
      <c r="D21" s="8">
        <f>-SUMIF(Data!$A:$A,"CAPEX",Data!$E:$E)</f>
        <v>-41118</v>
      </c>
      <c r="E21" s="8">
        <f>-SUMIF(Data!$A:$A,"CAPEX",Data!$F:$F)</f>
        <v>-263563</v>
      </c>
      <c r="F21" s="8">
        <f>-SUMIF(Data!$A:$A,"CAPEX",Data!$G:$G)</f>
        <v>-196000</v>
      </c>
      <c r="G21" s="8">
        <f>-SUMIF(Data!$A:$A,"CAPEX",Data!$H:$H)</f>
        <v>-105950</v>
      </c>
      <c r="H21" s="9">
        <f>SUM(C21:G21)</f>
        <v>-618631</v>
      </c>
    </row>
    <row r="22" spans="1:8" x14ac:dyDescent="0.25">
      <c r="A22" s="14" t="s">
        <v>48</v>
      </c>
      <c r="B22" s="15"/>
      <c r="C22" s="16">
        <f>C21</f>
        <v>-12000</v>
      </c>
      <c r="D22" s="16">
        <f>D21</f>
        <v>-41118</v>
      </c>
      <c r="E22" s="16">
        <f>E21</f>
        <v>-263563</v>
      </c>
      <c r="F22" s="16">
        <f>F21</f>
        <v>-196000</v>
      </c>
      <c r="G22" s="16">
        <f>G21</f>
        <v>-105950</v>
      </c>
      <c r="H22" s="16">
        <f>SUM(C22:G22)</f>
        <v>-618631</v>
      </c>
    </row>
    <row r="24" spans="1:8" x14ac:dyDescent="0.25">
      <c r="A24" s="5" t="s">
        <v>49</v>
      </c>
      <c r="B24" s="6"/>
      <c r="C24" s="6"/>
      <c r="D24" s="6"/>
      <c r="E24" s="6"/>
      <c r="F24" s="6"/>
      <c r="G24" s="6"/>
      <c r="H24" s="6"/>
    </row>
    <row r="25" spans="1:8" x14ac:dyDescent="0.25">
      <c r="A25" s="7" t="s">
        <v>50</v>
      </c>
      <c r="C25" s="8">
        <f>SUMIF(Data!$A:$A,"FIN_INJECT",Data!$D:$D)</f>
        <v>0</v>
      </c>
      <c r="D25" s="8">
        <f>SUMIF(Data!$A:$A,"FIN_INJECT",Data!$E:$E)</f>
        <v>2000000</v>
      </c>
      <c r="E25" s="8">
        <f>SUMIF(Data!$A:$A,"FIN_INJECT",Data!$F:$F)</f>
        <v>599640</v>
      </c>
      <c r="F25" s="8">
        <f>SUMIF(Data!$A:$A,"FIN_INJECT",Data!$G:$G)</f>
        <v>0</v>
      </c>
      <c r="G25" s="8">
        <f>SUMIF(Data!$A:$A,"FIN_INJECT",Data!$H:$H)</f>
        <v>0</v>
      </c>
      <c r="H25" s="9">
        <f>SUM(C25:G25)</f>
        <v>2599640</v>
      </c>
    </row>
    <row r="26" spans="1:8" x14ac:dyDescent="0.25">
      <c r="A26" s="7" t="s">
        <v>51</v>
      </c>
      <c r="C26" s="8">
        <f>-SUMIF(Data!$A:$A,"FIN_DRAW",Data!$D:$D)</f>
        <v>0</v>
      </c>
      <c r="D26" s="8">
        <f>-SUMIF(Data!$A:$A,"FIN_DRAW",Data!$E:$E)</f>
        <v>-135000</v>
      </c>
      <c r="E26" s="8">
        <f>-SUMIF(Data!$A:$A,"FIN_DRAW",Data!$F:$F)</f>
        <v>-1101540</v>
      </c>
      <c r="F26" s="8">
        <f>-SUMIF(Data!$A:$A,"FIN_DRAW",Data!$G:$G)</f>
        <v>-700000</v>
      </c>
      <c r="G26" s="8">
        <f>-SUMIF(Data!$A:$A,"FIN_DRAW",Data!$H:$H)</f>
        <v>-400000</v>
      </c>
      <c r="H26" s="9">
        <f>SUM(C26:G26)</f>
        <v>-2336540</v>
      </c>
    </row>
    <row r="27" spans="1:8" x14ac:dyDescent="0.25">
      <c r="A27" s="14" t="s">
        <v>52</v>
      </c>
      <c r="B27" s="15"/>
      <c r="C27" s="16">
        <f>C25+C26</f>
        <v>0</v>
      </c>
      <c r="D27" s="16">
        <f>D25+D26</f>
        <v>1865000</v>
      </c>
      <c r="E27" s="16">
        <f>E25+E26</f>
        <v>-501900</v>
      </c>
      <c r="F27" s="16">
        <f>F25+F26</f>
        <v>-700000</v>
      </c>
      <c r="G27" s="16">
        <f>G25+G26</f>
        <v>-400000</v>
      </c>
      <c r="H27" s="16">
        <f>SUM(C27:G27)</f>
        <v>263100</v>
      </c>
    </row>
    <row r="29" spans="1:8" x14ac:dyDescent="0.25">
      <c r="A29" s="18" t="s">
        <v>53</v>
      </c>
      <c r="B29" s="19"/>
      <c r="C29" s="20">
        <f>C18+C22+C27</f>
        <v>609646.08000000019</v>
      </c>
      <c r="D29" s="20">
        <f>D18+D22+D27</f>
        <v>-770286.94</v>
      </c>
      <c r="E29" s="20">
        <f>E18+E22+E27</f>
        <v>-9928.8600000001024</v>
      </c>
      <c r="F29" s="20">
        <f>F18+F22+F27</f>
        <v>-188222.79000000062</v>
      </c>
      <c r="G29" s="20">
        <f>G18+G22+G27</f>
        <v>1494161.0000000002</v>
      </c>
      <c r="H29" s="20">
        <f>SUM(C29:G29)</f>
        <v>1135368.4899999998</v>
      </c>
    </row>
    <row r="31" spans="1:8" x14ac:dyDescent="0.25">
      <c r="A31" s="21" t="s">
        <v>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0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8" sqref="C8"/>
    </sheetView>
  </sheetViews>
  <sheetFormatPr defaultColWidth="8.7109375" defaultRowHeight="15" x14ac:dyDescent="0.25"/>
  <cols>
    <col min="1" max="1" width="14" customWidth="1"/>
    <col min="2" max="2" width="30" customWidth="1"/>
    <col min="3" max="3" width="28" customWidth="1"/>
    <col min="4" max="9" width="13" customWidth="1"/>
  </cols>
  <sheetData>
    <row r="1" spans="1:9" ht="16.5" x14ac:dyDescent="0.25">
      <c r="A1" s="22" t="s">
        <v>55</v>
      </c>
    </row>
    <row r="2" spans="1:9" x14ac:dyDescent="0.25">
      <c r="A2" s="2" t="s">
        <v>56</v>
      </c>
    </row>
    <row r="4" spans="1:9" x14ac:dyDescent="0.25">
      <c r="A4" s="3" t="s">
        <v>57</v>
      </c>
      <c r="B4" s="3" t="s">
        <v>58</v>
      </c>
      <c r="C4" s="3" t="s">
        <v>59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</row>
    <row r="5" spans="1:9" x14ac:dyDescent="0.25">
      <c r="A5" s="23" t="s">
        <v>60</v>
      </c>
      <c r="B5" s="7" t="s">
        <v>61</v>
      </c>
      <c r="C5" s="24" t="s">
        <v>62</v>
      </c>
      <c r="D5" s="25">
        <v>1013424.56</v>
      </c>
      <c r="E5" s="25">
        <v>1098719.83</v>
      </c>
      <c r="F5" s="25">
        <v>1071167.8999999999</v>
      </c>
      <c r="G5" s="25">
        <v>1452822.17</v>
      </c>
      <c r="H5" s="25">
        <v>1839217.46</v>
      </c>
      <c r="I5" s="26">
        <f t="shared" ref="I5:I36" si="0">SUM(D5:H5)</f>
        <v>6475351.9199999999</v>
      </c>
    </row>
    <row r="6" spans="1:9" x14ac:dyDescent="0.25">
      <c r="A6" s="23" t="s">
        <v>60</v>
      </c>
      <c r="B6" s="7" t="s">
        <v>63</v>
      </c>
      <c r="C6" s="24" t="s">
        <v>64</v>
      </c>
      <c r="D6" s="25">
        <v>734024.5</v>
      </c>
      <c r="E6" s="25">
        <v>643994.22</v>
      </c>
      <c r="F6" s="25">
        <v>1508004</v>
      </c>
      <c r="G6" s="25">
        <v>1870615</v>
      </c>
      <c r="H6" s="25">
        <v>2085644</v>
      </c>
      <c r="I6" s="26">
        <f t="shared" si="0"/>
        <v>6842281.7199999997</v>
      </c>
    </row>
    <row r="7" spans="1:9" x14ac:dyDescent="0.25">
      <c r="A7" s="23" t="s">
        <v>60</v>
      </c>
      <c r="B7" s="7" t="s">
        <v>65</v>
      </c>
      <c r="C7" s="24" t="s">
        <v>66</v>
      </c>
      <c r="D7" s="25">
        <v>949126.68</v>
      </c>
      <c r="E7" s="25">
        <v>937578.51</v>
      </c>
      <c r="F7" s="25">
        <v>1127234.6299999999</v>
      </c>
      <c r="G7" s="25">
        <v>1523725.01</v>
      </c>
      <c r="H7" s="25">
        <v>1607576.8</v>
      </c>
      <c r="I7" s="26">
        <f t="shared" si="0"/>
        <v>6145241.6299999999</v>
      </c>
    </row>
    <row r="8" spans="1:9" x14ac:dyDescent="0.25">
      <c r="A8" s="23" t="s">
        <v>60</v>
      </c>
      <c r="B8" s="7" t="s">
        <v>67</v>
      </c>
      <c r="C8" s="24" t="s">
        <v>68</v>
      </c>
      <c r="D8" s="25">
        <v>0</v>
      </c>
      <c r="E8" s="25">
        <v>0</v>
      </c>
      <c r="F8" s="25">
        <v>79597</v>
      </c>
      <c r="G8" s="25">
        <v>270890.40999999997</v>
      </c>
      <c r="H8" s="25">
        <v>265065.62</v>
      </c>
      <c r="I8" s="26">
        <f t="shared" si="0"/>
        <v>615553.03</v>
      </c>
    </row>
    <row r="9" spans="1:9" x14ac:dyDescent="0.25">
      <c r="A9" s="23" t="s">
        <v>69</v>
      </c>
      <c r="B9" s="7" t="s">
        <v>70</v>
      </c>
      <c r="C9" s="24" t="s">
        <v>71</v>
      </c>
      <c r="D9" s="25">
        <v>766665.4</v>
      </c>
      <c r="E9" s="25">
        <v>614435.69999999995</v>
      </c>
      <c r="F9" s="25">
        <v>1890097.9</v>
      </c>
      <c r="G9" s="25">
        <v>1091807.3500000001</v>
      </c>
      <c r="H9" s="25">
        <v>1688746.74</v>
      </c>
      <c r="I9" s="26">
        <f t="shared" si="0"/>
        <v>6051753.0899999999</v>
      </c>
    </row>
    <row r="10" spans="1:9" x14ac:dyDescent="0.25">
      <c r="A10" s="23" t="s">
        <v>69</v>
      </c>
      <c r="B10" s="7" t="s">
        <v>72</v>
      </c>
      <c r="C10" s="24" t="s">
        <v>73</v>
      </c>
      <c r="D10" s="25">
        <v>9920</v>
      </c>
      <c r="E10" s="25">
        <v>30845</v>
      </c>
      <c r="F10" s="25">
        <v>0</v>
      </c>
      <c r="G10" s="25">
        <v>10968</v>
      </c>
      <c r="H10" s="25">
        <v>63254</v>
      </c>
      <c r="I10" s="26">
        <f t="shared" si="0"/>
        <v>114987</v>
      </c>
    </row>
    <row r="11" spans="1:9" x14ac:dyDescent="0.25">
      <c r="A11" s="23" t="s">
        <v>74</v>
      </c>
      <c r="B11" s="7" t="s">
        <v>75</v>
      </c>
      <c r="C11" s="24" t="s">
        <v>76</v>
      </c>
      <c r="D11" s="25">
        <v>15000</v>
      </c>
      <c r="E11" s="25">
        <v>5000</v>
      </c>
      <c r="F11" s="25">
        <v>10000</v>
      </c>
      <c r="G11" s="25">
        <v>10000</v>
      </c>
      <c r="H11" s="25">
        <v>0</v>
      </c>
      <c r="I11" s="26">
        <f t="shared" si="0"/>
        <v>40000</v>
      </c>
    </row>
    <row r="12" spans="1:9" x14ac:dyDescent="0.25">
      <c r="A12" s="23" t="s">
        <v>74</v>
      </c>
      <c r="B12" s="7" t="s">
        <v>77</v>
      </c>
      <c r="C12" s="24" t="s">
        <v>78</v>
      </c>
      <c r="D12" s="25">
        <v>6000</v>
      </c>
      <c r="E12" s="25">
        <v>6000</v>
      </c>
      <c r="F12" s="25">
        <v>6000</v>
      </c>
      <c r="G12" s="25">
        <v>6000</v>
      </c>
      <c r="H12" s="25">
        <v>6000</v>
      </c>
      <c r="I12" s="26">
        <f t="shared" si="0"/>
        <v>30000</v>
      </c>
    </row>
    <row r="13" spans="1:9" x14ac:dyDescent="0.25">
      <c r="A13" s="23" t="s">
        <v>74</v>
      </c>
      <c r="B13" s="7" t="s">
        <v>79</v>
      </c>
      <c r="C13" s="24" t="s">
        <v>80</v>
      </c>
      <c r="D13" s="25">
        <v>0</v>
      </c>
      <c r="E13" s="25">
        <v>6155</v>
      </c>
      <c r="F13" s="25">
        <v>292075</v>
      </c>
      <c r="G13" s="25">
        <v>9600</v>
      </c>
      <c r="H13" s="25">
        <v>31377</v>
      </c>
      <c r="I13" s="26">
        <f t="shared" si="0"/>
        <v>339207</v>
      </c>
    </row>
    <row r="14" spans="1:9" x14ac:dyDescent="0.25">
      <c r="A14" s="23" t="s">
        <v>81</v>
      </c>
      <c r="B14" s="7" t="s">
        <v>41</v>
      </c>
      <c r="C14" s="24" t="s">
        <v>82</v>
      </c>
      <c r="D14" s="25">
        <v>1930393.5</v>
      </c>
      <c r="E14" s="25">
        <v>2685411.28</v>
      </c>
      <c r="F14" s="25">
        <v>3278858.53</v>
      </c>
      <c r="G14" s="25">
        <v>3948901.81</v>
      </c>
      <c r="H14" s="25">
        <v>2558170.12</v>
      </c>
      <c r="I14" s="26">
        <f t="shared" si="0"/>
        <v>14401735.239999998</v>
      </c>
    </row>
    <row r="15" spans="1:9" x14ac:dyDescent="0.25">
      <c r="A15" s="23" t="s">
        <v>83</v>
      </c>
      <c r="B15" s="7" t="s">
        <v>84</v>
      </c>
      <c r="C15" s="24" t="s">
        <v>85</v>
      </c>
      <c r="D15" s="25">
        <v>0</v>
      </c>
      <c r="E15" s="25">
        <v>0</v>
      </c>
      <c r="F15" s="25">
        <v>597040</v>
      </c>
      <c r="G15" s="25">
        <v>0</v>
      </c>
      <c r="H15" s="25">
        <v>0</v>
      </c>
      <c r="I15" s="26">
        <f t="shared" si="0"/>
        <v>597040</v>
      </c>
    </row>
    <row r="16" spans="1:9" x14ac:dyDescent="0.25">
      <c r="A16" s="23" t="s">
        <v>83</v>
      </c>
      <c r="B16" s="7" t="s">
        <v>86</v>
      </c>
      <c r="C16" s="24" t="s">
        <v>87</v>
      </c>
      <c r="D16" s="25">
        <v>0</v>
      </c>
      <c r="E16" s="25">
        <v>6800</v>
      </c>
      <c r="F16" s="25">
        <v>0</v>
      </c>
      <c r="G16" s="25">
        <v>0</v>
      </c>
      <c r="H16" s="25">
        <v>0</v>
      </c>
      <c r="I16" s="26">
        <f t="shared" si="0"/>
        <v>6800</v>
      </c>
    </row>
    <row r="17" spans="1:9" x14ac:dyDescent="0.25">
      <c r="A17" s="23" t="s">
        <v>83</v>
      </c>
      <c r="B17" s="7" t="s">
        <v>88</v>
      </c>
      <c r="C17" s="24" t="s">
        <v>89</v>
      </c>
      <c r="D17" s="25">
        <v>0</v>
      </c>
      <c r="E17" s="25">
        <v>0</v>
      </c>
      <c r="F17" s="25">
        <v>0</v>
      </c>
      <c r="G17" s="25">
        <v>4700</v>
      </c>
      <c r="H17" s="25">
        <v>0</v>
      </c>
      <c r="I17" s="26">
        <f t="shared" si="0"/>
        <v>4700</v>
      </c>
    </row>
    <row r="18" spans="1:9" x14ac:dyDescent="0.25">
      <c r="A18" s="23" t="s">
        <v>83</v>
      </c>
      <c r="B18" s="7" t="s">
        <v>90</v>
      </c>
      <c r="C18" s="24" t="s">
        <v>91</v>
      </c>
      <c r="D18" s="25">
        <v>0</v>
      </c>
      <c r="E18" s="25">
        <v>68000</v>
      </c>
      <c r="F18" s="25">
        <v>2000</v>
      </c>
      <c r="G18" s="25">
        <v>44100</v>
      </c>
      <c r="H18" s="25">
        <v>52424</v>
      </c>
      <c r="I18" s="26">
        <f t="shared" si="0"/>
        <v>166524</v>
      </c>
    </row>
    <row r="19" spans="1:9" x14ac:dyDescent="0.25">
      <c r="A19" s="23" t="s">
        <v>83</v>
      </c>
      <c r="B19" s="7" t="s">
        <v>92</v>
      </c>
      <c r="C19" s="24" t="s">
        <v>93</v>
      </c>
      <c r="D19" s="25">
        <v>0</v>
      </c>
      <c r="E19" s="25">
        <v>1966900.7</v>
      </c>
      <c r="F19" s="25">
        <v>0</v>
      </c>
      <c r="G19" s="25">
        <v>0</v>
      </c>
      <c r="H19" s="25">
        <v>1120000</v>
      </c>
      <c r="I19" s="26">
        <f t="shared" si="0"/>
        <v>3086900.7</v>
      </c>
    </row>
    <row r="20" spans="1:9" x14ac:dyDescent="0.25">
      <c r="A20" s="23" t="s">
        <v>83</v>
      </c>
      <c r="B20" s="7" t="s">
        <v>94</v>
      </c>
      <c r="C20" s="24" t="s">
        <v>95</v>
      </c>
      <c r="D20" s="25">
        <v>0</v>
      </c>
      <c r="E20" s="25">
        <v>0</v>
      </c>
      <c r="F20" s="25">
        <v>23000</v>
      </c>
      <c r="G20" s="25">
        <v>0</v>
      </c>
      <c r="H20" s="25">
        <v>0</v>
      </c>
      <c r="I20" s="26">
        <f t="shared" si="0"/>
        <v>23000</v>
      </c>
    </row>
    <row r="21" spans="1:9" x14ac:dyDescent="0.25">
      <c r="A21" s="23" t="s">
        <v>83</v>
      </c>
      <c r="B21" s="7" t="s">
        <v>96</v>
      </c>
      <c r="C21" s="24" t="s">
        <v>97</v>
      </c>
      <c r="D21" s="25">
        <v>24093</v>
      </c>
      <c r="E21" s="25">
        <v>0</v>
      </c>
      <c r="F21" s="25">
        <v>0</v>
      </c>
      <c r="G21" s="25">
        <v>0</v>
      </c>
      <c r="H21" s="25">
        <v>397375.8</v>
      </c>
      <c r="I21" s="26">
        <f t="shared" si="0"/>
        <v>421468.8</v>
      </c>
    </row>
    <row r="22" spans="1:9" x14ac:dyDescent="0.25">
      <c r="A22" s="23" t="s">
        <v>98</v>
      </c>
      <c r="B22" s="7" t="s">
        <v>99</v>
      </c>
      <c r="C22" s="24" t="s">
        <v>100</v>
      </c>
      <c r="D22" s="25">
        <v>469640</v>
      </c>
      <c r="E22" s="25">
        <v>468980.5</v>
      </c>
      <c r="F22" s="25">
        <v>618683.51</v>
      </c>
      <c r="G22" s="25">
        <v>839552.14</v>
      </c>
      <c r="H22" s="25">
        <v>902202.9</v>
      </c>
      <c r="I22" s="26">
        <f t="shared" si="0"/>
        <v>3299059.05</v>
      </c>
    </row>
    <row r="23" spans="1:9" x14ac:dyDescent="0.25">
      <c r="A23" s="23" t="s">
        <v>98</v>
      </c>
      <c r="B23" s="7" t="s">
        <v>101</v>
      </c>
      <c r="C23" s="24" t="s">
        <v>102</v>
      </c>
      <c r="D23" s="25">
        <v>30000</v>
      </c>
      <c r="E23" s="25">
        <v>110000</v>
      </c>
      <c r="F23" s="25">
        <v>192920</v>
      </c>
      <c r="G23" s="25">
        <v>1000</v>
      </c>
      <c r="H23" s="25">
        <v>46130</v>
      </c>
      <c r="I23" s="26">
        <f t="shared" si="0"/>
        <v>380050</v>
      </c>
    </row>
    <row r="24" spans="1:9" x14ac:dyDescent="0.25">
      <c r="A24" s="23" t="s">
        <v>98</v>
      </c>
      <c r="B24" s="7" t="s">
        <v>103</v>
      </c>
      <c r="C24" s="24" t="s">
        <v>104</v>
      </c>
      <c r="D24" s="25">
        <v>76200</v>
      </c>
      <c r="E24" s="25">
        <v>72212.899999999994</v>
      </c>
      <c r="F24" s="25">
        <v>0</v>
      </c>
      <c r="G24" s="25">
        <v>76336.649999999994</v>
      </c>
      <c r="H24" s="25">
        <v>83196.31</v>
      </c>
      <c r="I24" s="26">
        <f t="shared" si="0"/>
        <v>307945.86</v>
      </c>
    </row>
    <row r="25" spans="1:9" x14ac:dyDescent="0.25">
      <c r="A25" s="23" t="s">
        <v>98</v>
      </c>
      <c r="B25" s="7" t="s">
        <v>105</v>
      </c>
      <c r="C25" s="24" t="s">
        <v>106</v>
      </c>
      <c r="D25" s="25">
        <v>55538</v>
      </c>
      <c r="E25" s="25">
        <v>52761.01</v>
      </c>
      <c r="F25" s="25">
        <v>0</v>
      </c>
      <c r="G25" s="25">
        <v>63504.99</v>
      </c>
      <c r="H25" s="25">
        <v>71924.7</v>
      </c>
      <c r="I25" s="26">
        <f t="shared" si="0"/>
        <v>243728.7</v>
      </c>
    </row>
    <row r="26" spans="1:9" x14ac:dyDescent="0.25">
      <c r="A26" s="23" t="s">
        <v>98</v>
      </c>
      <c r="B26" s="7" t="s">
        <v>107</v>
      </c>
      <c r="C26" s="24" t="s">
        <v>108</v>
      </c>
      <c r="D26" s="25">
        <v>11900</v>
      </c>
      <c r="E26" s="25">
        <v>0</v>
      </c>
      <c r="F26" s="25">
        <v>0</v>
      </c>
      <c r="G26" s="25">
        <v>11010.12</v>
      </c>
      <c r="H26" s="25">
        <v>15588.14</v>
      </c>
      <c r="I26" s="26">
        <f t="shared" si="0"/>
        <v>38498.26</v>
      </c>
    </row>
    <row r="27" spans="1:9" x14ac:dyDescent="0.25">
      <c r="A27" s="23" t="s">
        <v>98</v>
      </c>
      <c r="B27" s="7" t="s">
        <v>109</v>
      </c>
      <c r="C27" s="24" t="s">
        <v>110</v>
      </c>
      <c r="D27" s="25">
        <v>9077</v>
      </c>
      <c r="E27" s="25">
        <v>17600</v>
      </c>
      <c r="F27" s="25">
        <v>26051</v>
      </c>
      <c r="G27" s="25">
        <v>35859</v>
      </c>
      <c r="H27" s="25">
        <v>0</v>
      </c>
      <c r="I27" s="26">
        <f t="shared" si="0"/>
        <v>88587</v>
      </c>
    </row>
    <row r="28" spans="1:9" x14ac:dyDescent="0.25">
      <c r="A28" s="23" t="s">
        <v>98</v>
      </c>
      <c r="B28" s="7" t="s">
        <v>111</v>
      </c>
      <c r="C28" s="24" t="s">
        <v>112</v>
      </c>
      <c r="D28" s="25">
        <v>0</v>
      </c>
      <c r="E28" s="25">
        <v>0</v>
      </c>
      <c r="F28" s="25">
        <v>9932</v>
      </c>
      <c r="G28" s="25">
        <v>0</v>
      </c>
      <c r="H28" s="25">
        <v>2278</v>
      </c>
      <c r="I28" s="26">
        <f t="shared" si="0"/>
        <v>12210</v>
      </c>
    </row>
    <row r="29" spans="1:9" x14ac:dyDescent="0.25">
      <c r="A29" s="23" t="s">
        <v>113</v>
      </c>
      <c r="B29" s="7" t="s">
        <v>114</v>
      </c>
      <c r="C29" s="24" t="s">
        <v>115</v>
      </c>
      <c r="D29" s="25">
        <v>5885.02</v>
      </c>
      <c r="E29" s="25">
        <v>5885.02</v>
      </c>
      <c r="F29" s="25">
        <v>5885.02</v>
      </c>
      <c r="G29" s="25">
        <v>5885.02</v>
      </c>
      <c r="H29" s="25">
        <v>0</v>
      </c>
      <c r="I29" s="26">
        <f t="shared" si="0"/>
        <v>23540.080000000002</v>
      </c>
    </row>
    <row r="30" spans="1:9" x14ac:dyDescent="0.25">
      <c r="A30" s="23" t="s">
        <v>113</v>
      </c>
      <c r="B30" s="7" t="s">
        <v>116</v>
      </c>
      <c r="C30" s="24" t="s">
        <v>117</v>
      </c>
      <c r="D30" s="25">
        <v>57716.57</v>
      </c>
      <c r="E30" s="25">
        <v>50569.72</v>
      </c>
      <c r="F30" s="25">
        <v>45557.96</v>
      </c>
      <c r="G30" s="25">
        <v>0</v>
      </c>
      <c r="H30" s="25">
        <v>32506.97</v>
      </c>
      <c r="I30" s="26">
        <f t="shared" si="0"/>
        <v>186351.22</v>
      </c>
    </row>
    <row r="31" spans="1:9" x14ac:dyDescent="0.25">
      <c r="A31" s="23" t="s">
        <v>113</v>
      </c>
      <c r="B31" s="7" t="s">
        <v>118</v>
      </c>
      <c r="C31" s="24" t="s">
        <v>119</v>
      </c>
      <c r="D31" s="25">
        <v>0</v>
      </c>
      <c r="E31" s="25">
        <v>0</v>
      </c>
      <c r="F31" s="25">
        <v>0</v>
      </c>
      <c r="G31" s="25">
        <v>17967</v>
      </c>
      <c r="H31" s="25">
        <v>0</v>
      </c>
      <c r="I31" s="26">
        <f t="shared" si="0"/>
        <v>17967</v>
      </c>
    </row>
    <row r="32" spans="1:9" x14ac:dyDescent="0.25">
      <c r="A32" s="23" t="s">
        <v>113</v>
      </c>
      <c r="B32" s="7" t="s">
        <v>120</v>
      </c>
      <c r="C32" s="24" t="s">
        <v>121</v>
      </c>
      <c r="D32" s="25">
        <v>6000</v>
      </c>
      <c r="E32" s="25">
        <v>6000</v>
      </c>
      <c r="F32" s="25">
        <v>9000</v>
      </c>
      <c r="G32" s="25">
        <v>6000</v>
      </c>
      <c r="H32" s="25">
        <v>9000</v>
      </c>
      <c r="I32" s="26">
        <f t="shared" si="0"/>
        <v>36000</v>
      </c>
    </row>
    <row r="33" spans="1:9" x14ac:dyDescent="0.25">
      <c r="A33" s="23" t="s">
        <v>122</v>
      </c>
      <c r="B33" s="7" t="s">
        <v>123</v>
      </c>
      <c r="C33" s="24" t="s">
        <v>124</v>
      </c>
      <c r="D33" s="25">
        <v>0</v>
      </c>
      <c r="E33" s="25">
        <v>400</v>
      </c>
      <c r="F33" s="25">
        <v>44486</v>
      </c>
      <c r="G33" s="25">
        <v>13237</v>
      </c>
      <c r="H33" s="25">
        <v>14614</v>
      </c>
      <c r="I33" s="26">
        <f t="shared" si="0"/>
        <v>72737</v>
      </c>
    </row>
    <row r="34" spans="1:9" x14ac:dyDescent="0.25">
      <c r="A34" s="23" t="s">
        <v>122</v>
      </c>
      <c r="B34" s="7" t="s">
        <v>125</v>
      </c>
      <c r="C34" s="24" t="s">
        <v>126</v>
      </c>
      <c r="D34" s="25">
        <v>20000</v>
      </c>
      <c r="E34" s="25">
        <v>2000</v>
      </c>
      <c r="F34" s="25">
        <v>25000</v>
      </c>
      <c r="G34" s="25">
        <v>67000</v>
      </c>
      <c r="H34" s="25">
        <v>41200</v>
      </c>
      <c r="I34" s="26">
        <f t="shared" si="0"/>
        <v>155200</v>
      </c>
    </row>
    <row r="35" spans="1:9" x14ac:dyDescent="0.25">
      <c r="A35" s="23" t="s">
        <v>127</v>
      </c>
      <c r="B35" s="7" t="s">
        <v>128</v>
      </c>
      <c r="C35" s="24" t="s">
        <v>129</v>
      </c>
      <c r="D35" s="25">
        <v>11929.63</v>
      </c>
      <c r="E35" s="25">
        <v>11732.04</v>
      </c>
      <c r="F35" s="25">
        <v>10919.26</v>
      </c>
      <c r="G35" s="25">
        <v>15283.19</v>
      </c>
      <c r="H35" s="25">
        <v>20767.27</v>
      </c>
      <c r="I35" s="26">
        <f t="shared" si="0"/>
        <v>70631.39</v>
      </c>
    </row>
    <row r="36" spans="1:9" x14ac:dyDescent="0.25">
      <c r="A36" s="23" t="s">
        <v>127</v>
      </c>
      <c r="B36" s="7" t="s">
        <v>130</v>
      </c>
      <c r="C36" s="24" t="s">
        <v>131</v>
      </c>
      <c r="D36" s="25">
        <v>8062.84</v>
      </c>
      <c r="E36" s="25">
        <v>8097.03</v>
      </c>
      <c r="F36" s="25">
        <v>17021.57</v>
      </c>
      <c r="G36" s="25">
        <v>20736.3</v>
      </c>
      <c r="H36" s="25">
        <v>24602.04</v>
      </c>
      <c r="I36" s="26">
        <f t="shared" si="0"/>
        <v>78519.78</v>
      </c>
    </row>
    <row r="37" spans="1:9" x14ac:dyDescent="0.25">
      <c r="A37" s="23" t="s">
        <v>127</v>
      </c>
      <c r="B37" s="7" t="s">
        <v>132</v>
      </c>
      <c r="C37" s="24" t="s">
        <v>133</v>
      </c>
      <c r="D37" s="25">
        <v>15158.5</v>
      </c>
      <c r="E37" s="25">
        <v>3290</v>
      </c>
      <c r="F37" s="25">
        <v>3730</v>
      </c>
      <c r="G37" s="25">
        <v>17591.12</v>
      </c>
      <c r="H37" s="25">
        <v>2343.96</v>
      </c>
      <c r="I37" s="26">
        <f t="shared" ref="I37:I68" si="1">SUM(D37:H37)</f>
        <v>42113.579999999994</v>
      </c>
    </row>
    <row r="38" spans="1:9" x14ac:dyDescent="0.25">
      <c r="A38" s="23" t="s">
        <v>134</v>
      </c>
      <c r="B38" s="7" t="s">
        <v>135</v>
      </c>
      <c r="C38" s="24" t="s">
        <v>136</v>
      </c>
      <c r="D38" s="25">
        <v>3000</v>
      </c>
      <c r="E38" s="25">
        <v>0</v>
      </c>
      <c r="F38" s="25">
        <v>4009</v>
      </c>
      <c r="G38" s="25">
        <v>8472</v>
      </c>
      <c r="H38" s="25">
        <v>4180</v>
      </c>
      <c r="I38" s="26">
        <f t="shared" si="1"/>
        <v>19661</v>
      </c>
    </row>
    <row r="39" spans="1:9" x14ac:dyDescent="0.25">
      <c r="A39" s="23" t="s">
        <v>134</v>
      </c>
      <c r="B39" s="7" t="s">
        <v>137</v>
      </c>
      <c r="C39" s="24" t="s">
        <v>138</v>
      </c>
      <c r="D39" s="25">
        <v>15000</v>
      </c>
      <c r="E39" s="25">
        <v>0</v>
      </c>
      <c r="F39" s="25">
        <v>0</v>
      </c>
      <c r="G39" s="25">
        <v>0</v>
      </c>
      <c r="H39" s="25">
        <v>0</v>
      </c>
      <c r="I39" s="26">
        <f t="shared" si="1"/>
        <v>15000</v>
      </c>
    </row>
    <row r="40" spans="1:9" x14ac:dyDescent="0.25">
      <c r="A40" s="23" t="s">
        <v>134</v>
      </c>
      <c r="B40" s="7" t="s">
        <v>139</v>
      </c>
      <c r="C40" s="24" t="s">
        <v>140</v>
      </c>
      <c r="D40" s="25">
        <v>3300</v>
      </c>
      <c r="E40" s="25">
        <v>3122</v>
      </c>
      <c r="F40" s="25">
        <v>0</v>
      </c>
      <c r="G40" s="25">
        <v>19800</v>
      </c>
      <c r="H40" s="25">
        <v>0</v>
      </c>
      <c r="I40" s="26">
        <f t="shared" si="1"/>
        <v>26222</v>
      </c>
    </row>
    <row r="41" spans="1:9" x14ac:dyDescent="0.25">
      <c r="A41" s="23" t="s">
        <v>134</v>
      </c>
      <c r="B41" s="7" t="s">
        <v>141</v>
      </c>
      <c r="C41" s="24" t="s">
        <v>142</v>
      </c>
      <c r="D41" s="25">
        <v>0</v>
      </c>
      <c r="E41" s="25">
        <v>0</v>
      </c>
      <c r="F41" s="25">
        <v>0</v>
      </c>
      <c r="G41" s="25">
        <v>9200</v>
      </c>
      <c r="H41" s="25">
        <v>0</v>
      </c>
      <c r="I41" s="26">
        <f t="shared" si="1"/>
        <v>9200</v>
      </c>
    </row>
    <row r="42" spans="1:9" x14ac:dyDescent="0.25">
      <c r="A42" s="23" t="s">
        <v>134</v>
      </c>
      <c r="B42" s="7" t="s">
        <v>143</v>
      </c>
      <c r="C42" s="24" t="s">
        <v>144</v>
      </c>
      <c r="D42" s="25">
        <v>20000</v>
      </c>
      <c r="E42" s="25">
        <v>70000</v>
      </c>
      <c r="F42" s="25">
        <v>40000</v>
      </c>
      <c r="G42" s="25">
        <v>0</v>
      </c>
      <c r="H42" s="25">
        <v>0</v>
      </c>
      <c r="I42" s="26">
        <f t="shared" si="1"/>
        <v>130000</v>
      </c>
    </row>
    <row r="43" spans="1:9" x14ac:dyDescent="0.25">
      <c r="A43" s="23" t="s">
        <v>134</v>
      </c>
      <c r="B43" s="7" t="s">
        <v>145</v>
      </c>
      <c r="C43" s="24" t="s">
        <v>146</v>
      </c>
      <c r="D43" s="25">
        <v>0</v>
      </c>
      <c r="E43" s="25">
        <v>28000</v>
      </c>
      <c r="F43" s="25">
        <v>0</v>
      </c>
      <c r="G43" s="25">
        <v>0</v>
      </c>
      <c r="H43" s="25">
        <v>0</v>
      </c>
      <c r="I43" s="26">
        <f t="shared" si="1"/>
        <v>28000</v>
      </c>
    </row>
    <row r="44" spans="1:9" x14ac:dyDescent="0.25">
      <c r="A44" s="23" t="s">
        <v>134</v>
      </c>
      <c r="B44" s="7" t="s">
        <v>147</v>
      </c>
      <c r="C44" s="24" t="s">
        <v>148</v>
      </c>
      <c r="D44" s="25">
        <v>0</v>
      </c>
      <c r="E44" s="25">
        <v>3200</v>
      </c>
      <c r="F44" s="25">
        <v>0</v>
      </c>
      <c r="G44" s="25">
        <v>6700</v>
      </c>
      <c r="H44" s="25">
        <v>0</v>
      </c>
      <c r="I44" s="26">
        <f t="shared" si="1"/>
        <v>9900</v>
      </c>
    </row>
    <row r="45" spans="1:9" x14ac:dyDescent="0.25">
      <c r="A45" s="23" t="s">
        <v>134</v>
      </c>
      <c r="B45" s="7" t="s">
        <v>149</v>
      </c>
      <c r="C45" s="24" t="s">
        <v>150</v>
      </c>
      <c r="D45" s="25">
        <v>0</v>
      </c>
      <c r="E45" s="25">
        <v>500</v>
      </c>
      <c r="F45" s="25">
        <v>0</v>
      </c>
      <c r="G45" s="25">
        <v>0</v>
      </c>
      <c r="H45" s="25">
        <v>0</v>
      </c>
      <c r="I45" s="26">
        <f t="shared" si="1"/>
        <v>500</v>
      </c>
    </row>
    <row r="46" spans="1:9" x14ac:dyDescent="0.25">
      <c r="A46" s="23" t="s">
        <v>134</v>
      </c>
      <c r="B46" s="7" t="s">
        <v>151</v>
      </c>
      <c r="C46" s="24" t="s">
        <v>152</v>
      </c>
      <c r="D46" s="25">
        <v>0</v>
      </c>
      <c r="E46" s="25">
        <v>6000</v>
      </c>
      <c r="F46" s="25">
        <v>0</v>
      </c>
      <c r="G46" s="25">
        <v>0</v>
      </c>
      <c r="H46" s="25">
        <v>6000</v>
      </c>
      <c r="I46" s="26">
        <f t="shared" si="1"/>
        <v>12000</v>
      </c>
    </row>
    <row r="47" spans="1:9" x14ac:dyDescent="0.25">
      <c r="A47" s="23" t="s">
        <v>134</v>
      </c>
      <c r="B47" s="7" t="s">
        <v>153</v>
      </c>
      <c r="C47" s="24" t="s">
        <v>154</v>
      </c>
      <c r="D47" s="25">
        <v>0</v>
      </c>
      <c r="E47" s="25">
        <v>1600</v>
      </c>
      <c r="F47" s="25">
        <v>0</v>
      </c>
      <c r="G47" s="25">
        <v>954.62</v>
      </c>
      <c r="H47" s="25">
        <v>0</v>
      </c>
      <c r="I47" s="26">
        <f t="shared" si="1"/>
        <v>2554.62</v>
      </c>
    </row>
    <row r="48" spans="1:9" x14ac:dyDescent="0.25">
      <c r="A48" s="23" t="s">
        <v>134</v>
      </c>
      <c r="B48" s="7" t="s">
        <v>155</v>
      </c>
      <c r="C48" s="24" t="s">
        <v>156</v>
      </c>
      <c r="D48" s="25">
        <v>0</v>
      </c>
      <c r="E48" s="25">
        <v>0</v>
      </c>
      <c r="F48" s="25">
        <v>6800</v>
      </c>
      <c r="G48" s="25">
        <v>0</v>
      </c>
      <c r="H48" s="25">
        <v>0</v>
      </c>
      <c r="I48" s="26">
        <f t="shared" si="1"/>
        <v>6800</v>
      </c>
    </row>
    <row r="49" spans="1:9" x14ac:dyDescent="0.25">
      <c r="A49" s="23" t="s">
        <v>157</v>
      </c>
      <c r="B49" s="7" t="s">
        <v>158</v>
      </c>
      <c r="C49" s="24" t="s">
        <v>159</v>
      </c>
      <c r="D49" s="25">
        <v>5850</v>
      </c>
      <c r="E49" s="25">
        <v>0</v>
      </c>
      <c r="F49" s="25">
        <v>0</v>
      </c>
      <c r="G49" s="25">
        <v>0</v>
      </c>
      <c r="H49" s="25">
        <v>0</v>
      </c>
      <c r="I49" s="26">
        <f t="shared" si="1"/>
        <v>5850</v>
      </c>
    </row>
    <row r="50" spans="1:9" x14ac:dyDescent="0.25">
      <c r="A50" s="23" t="s">
        <v>157</v>
      </c>
      <c r="B50" s="7" t="s">
        <v>160</v>
      </c>
      <c r="C50" s="24" t="s">
        <v>161</v>
      </c>
      <c r="D50" s="25">
        <v>1100</v>
      </c>
      <c r="E50" s="25">
        <v>2640</v>
      </c>
      <c r="F50" s="25">
        <v>880</v>
      </c>
      <c r="G50" s="25">
        <v>880</v>
      </c>
      <c r="H50" s="25">
        <v>1760</v>
      </c>
      <c r="I50" s="26">
        <f t="shared" si="1"/>
        <v>7260</v>
      </c>
    </row>
    <row r="51" spans="1:9" x14ac:dyDescent="0.25">
      <c r="A51" s="23" t="s">
        <v>157</v>
      </c>
      <c r="B51" s="7" t="s">
        <v>162</v>
      </c>
      <c r="C51" s="24" t="s">
        <v>163</v>
      </c>
      <c r="D51" s="25">
        <v>0</v>
      </c>
      <c r="E51" s="25">
        <v>20000</v>
      </c>
      <c r="F51" s="25">
        <v>1500</v>
      </c>
      <c r="G51" s="25">
        <v>0</v>
      </c>
      <c r="H51" s="25">
        <v>0</v>
      </c>
      <c r="I51" s="26">
        <f t="shared" si="1"/>
        <v>21500</v>
      </c>
    </row>
    <row r="52" spans="1:9" x14ac:dyDescent="0.25">
      <c r="A52" s="23" t="s">
        <v>157</v>
      </c>
      <c r="B52" s="7" t="s">
        <v>164</v>
      </c>
      <c r="C52" s="24" t="s">
        <v>165</v>
      </c>
      <c r="D52" s="25">
        <v>0</v>
      </c>
      <c r="E52" s="25">
        <v>8315</v>
      </c>
      <c r="F52" s="25">
        <v>400</v>
      </c>
      <c r="G52" s="25">
        <v>4650</v>
      </c>
      <c r="H52" s="25">
        <v>0</v>
      </c>
      <c r="I52" s="26">
        <f t="shared" si="1"/>
        <v>13365</v>
      </c>
    </row>
    <row r="53" spans="1:9" x14ac:dyDescent="0.25">
      <c r="A53" s="23" t="s">
        <v>157</v>
      </c>
      <c r="B53" s="7" t="s">
        <v>166</v>
      </c>
      <c r="C53" s="24" t="s">
        <v>167</v>
      </c>
      <c r="D53" s="25">
        <v>0</v>
      </c>
      <c r="E53" s="25">
        <v>3600</v>
      </c>
      <c r="F53" s="25">
        <v>0</v>
      </c>
      <c r="G53" s="25">
        <v>0</v>
      </c>
      <c r="H53" s="25">
        <v>0</v>
      </c>
      <c r="I53" s="26">
        <f t="shared" si="1"/>
        <v>3600</v>
      </c>
    </row>
    <row r="54" spans="1:9" x14ac:dyDescent="0.25">
      <c r="A54" s="23" t="s">
        <v>157</v>
      </c>
      <c r="B54" s="7" t="s">
        <v>168</v>
      </c>
      <c r="C54" s="24" t="s">
        <v>169</v>
      </c>
      <c r="D54" s="25">
        <v>0</v>
      </c>
      <c r="E54" s="25">
        <v>1600</v>
      </c>
      <c r="F54" s="25">
        <v>1400</v>
      </c>
      <c r="G54" s="25">
        <v>0</v>
      </c>
      <c r="H54" s="25">
        <v>0</v>
      </c>
      <c r="I54" s="26">
        <f t="shared" si="1"/>
        <v>3000</v>
      </c>
    </row>
    <row r="55" spans="1:9" x14ac:dyDescent="0.25">
      <c r="A55" s="23" t="s">
        <v>170</v>
      </c>
      <c r="B55" s="7" t="s">
        <v>29</v>
      </c>
      <c r="C55" s="24" t="s">
        <v>171</v>
      </c>
      <c r="D55" s="25">
        <v>92671</v>
      </c>
      <c r="E55" s="25">
        <v>100020</v>
      </c>
      <c r="F55" s="25">
        <v>248968.44</v>
      </c>
      <c r="G55" s="25">
        <v>145209.76999999999</v>
      </c>
      <c r="H55" s="25">
        <v>154846.41</v>
      </c>
      <c r="I55" s="26">
        <f t="shared" si="1"/>
        <v>741715.62</v>
      </c>
    </row>
    <row r="56" spans="1:9" x14ac:dyDescent="0.25">
      <c r="A56" s="23" t="s">
        <v>172</v>
      </c>
      <c r="B56" s="7" t="s">
        <v>173</v>
      </c>
      <c r="C56" s="24" t="s">
        <v>174</v>
      </c>
      <c r="D56" s="25">
        <v>0</v>
      </c>
      <c r="E56" s="25">
        <v>20000</v>
      </c>
      <c r="F56" s="25">
        <v>0</v>
      </c>
      <c r="G56" s="25">
        <v>139000</v>
      </c>
      <c r="H56" s="25">
        <v>0</v>
      </c>
      <c r="I56" s="26">
        <f t="shared" si="1"/>
        <v>159000</v>
      </c>
    </row>
    <row r="57" spans="1:9" x14ac:dyDescent="0.25">
      <c r="A57" s="23" t="s">
        <v>172</v>
      </c>
      <c r="B57" s="7" t="s">
        <v>175</v>
      </c>
      <c r="C57" s="24" t="s">
        <v>176</v>
      </c>
      <c r="D57" s="25">
        <v>0</v>
      </c>
      <c r="E57" s="25">
        <v>0</v>
      </c>
      <c r="F57" s="25">
        <v>0</v>
      </c>
      <c r="G57" s="25">
        <v>13000</v>
      </c>
      <c r="H57" s="25">
        <v>0</v>
      </c>
      <c r="I57" s="26">
        <f t="shared" si="1"/>
        <v>13000</v>
      </c>
    </row>
    <row r="58" spans="1:9" x14ac:dyDescent="0.25">
      <c r="A58" s="23" t="s">
        <v>172</v>
      </c>
      <c r="B58" s="7" t="s">
        <v>177</v>
      </c>
      <c r="C58" s="24" t="s">
        <v>178</v>
      </c>
      <c r="D58" s="25">
        <v>0</v>
      </c>
      <c r="E58" s="25">
        <v>0</v>
      </c>
      <c r="F58" s="25">
        <v>0</v>
      </c>
      <c r="G58" s="25">
        <v>0</v>
      </c>
      <c r="H58" s="25">
        <v>25000</v>
      </c>
      <c r="I58" s="26">
        <f t="shared" si="1"/>
        <v>25000</v>
      </c>
    </row>
    <row r="59" spans="1:9" x14ac:dyDescent="0.25">
      <c r="A59" s="23" t="s">
        <v>172</v>
      </c>
      <c r="B59" s="7" t="s">
        <v>179</v>
      </c>
      <c r="C59" s="24" t="s">
        <v>180</v>
      </c>
      <c r="D59" s="25">
        <v>0</v>
      </c>
      <c r="E59" s="25">
        <v>0</v>
      </c>
      <c r="F59" s="25">
        <v>5000</v>
      </c>
      <c r="G59" s="25">
        <v>0</v>
      </c>
      <c r="H59" s="25">
        <v>0</v>
      </c>
      <c r="I59" s="26">
        <f t="shared" si="1"/>
        <v>5000</v>
      </c>
    </row>
    <row r="60" spans="1:9" x14ac:dyDescent="0.25">
      <c r="A60" s="23" t="s">
        <v>181</v>
      </c>
      <c r="B60" s="7" t="s">
        <v>182</v>
      </c>
      <c r="C60" s="24" t="s">
        <v>183</v>
      </c>
      <c r="D60" s="25">
        <v>0</v>
      </c>
      <c r="E60" s="25">
        <v>127860</v>
      </c>
      <c r="F60" s="25">
        <v>0</v>
      </c>
      <c r="G60" s="25">
        <v>0</v>
      </c>
      <c r="H60" s="25">
        <v>0</v>
      </c>
      <c r="I60" s="26">
        <f t="shared" si="1"/>
        <v>127860</v>
      </c>
    </row>
    <row r="61" spans="1:9" x14ac:dyDescent="0.25">
      <c r="A61" s="23" t="s">
        <v>181</v>
      </c>
      <c r="B61" s="7" t="s">
        <v>184</v>
      </c>
      <c r="C61" s="24" t="s">
        <v>185</v>
      </c>
      <c r="D61" s="25">
        <v>0</v>
      </c>
      <c r="E61" s="25">
        <v>3800</v>
      </c>
      <c r="F61" s="25">
        <v>0</v>
      </c>
      <c r="G61" s="25">
        <v>0</v>
      </c>
      <c r="H61" s="25">
        <v>0</v>
      </c>
      <c r="I61" s="26">
        <f t="shared" si="1"/>
        <v>3800</v>
      </c>
    </row>
    <row r="62" spans="1:9" x14ac:dyDescent="0.25">
      <c r="A62" s="23" t="s">
        <v>181</v>
      </c>
      <c r="B62" s="7" t="s">
        <v>186</v>
      </c>
      <c r="C62" s="24" t="s">
        <v>187</v>
      </c>
      <c r="D62" s="25">
        <v>0</v>
      </c>
      <c r="E62" s="25">
        <v>0</v>
      </c>
      <c r="F62" s="25">
        <v>9600</v>
      </c>
      <c r="G62" s="25">
        <v>0</v>
      </c>
      <c r="H62" s="25">
        <v>0</v>
      </c>
      <c r="I62" s="26">
        <f t="shared" si="1"/>
        <v>9600</v>
      </c>
    </row>
    <row r="63" spans="1:9" x14ac:dyDescent="0.25">
      <c r="A63" s="23" t="s">
        <v>181</v>
      </c>
      <c r="B63" s="7" t="s">
        <v>188</v>
      </c>
      <c r="C63" s="24" t="s">
        <v>189</v>
      </c>
      <c r="D63" s="25">
        <v>0</v>
      </c>
      <c r="E63" s="25">
        <v>0</v>
      </c>
      <c r="F63" s="25">
        <v>0</v>
      </c>
      <c r="G63" s="25">
        <v>2120</v>
      </c>
      <c r="H63" s="25">
        <v>0</v>
      </c>
      <c r="I63" s="26">
        <f t="shared" si="1"/>
        <v>2120</v>
      </c>
    </row>
    <row r="64" spans="1:9" x14ac:dyDescent="0.25">
      <c r="A64" s="23" t="s">
        <v>181</v>
      </c>
      <c r="B64" s="7" t="s">
        <v>190</v>
      </c>
      <c r="C64" s="24" t="s">
        <v>190</v>
      </c>
      <c r="D64" s="25">
        <v>0</v>
      </c>
      <c r="E64" s="25">
        <v>0</v>
      </c>
      <c r="F64" s="25">
        <v>0</v>
      </c>
      <c r="G64" s="25">
        <v>0</v>
      </c>
      <c r="H64" s="25">
        <v>660</v>
      </c>
      <c r="I64" s="26">
        <f t="shared" si="1"/>
        <v>660</v>
      </c>
    </row>
    <row r="65" spans="1:9" x14ac:dyDescent="0.25">
      <c r="A65" s="23" t="s">
        <v>191</v>
      </c>
      <c r="B65" s="7" t="s">
        <v>192</v>
      </c>
      <c r="C65" s="24" t="s">
        <v>193</v>
      </c>
      <c r="D65" s="25">
        <v>12000</v>
      </c>
      <c r="E65" s="25">
        <v>0</v>
      </c>
      <c r="F65" s="25">
        <v>0</v>
      </c>
      <c r="G65" s="25">
        <v>0</v>
      </c>
      <c r="H65" s="25">
        <v>0</v>
      </c>
      <c r="I65" s="26">
        <f t="shared" si="1"/>
        <v>12000</v>
      </c>
    </row>
    <row r="66" spans="1:9" x14ac:dyDescent="0.25">
      <c r="A66" s="23" t="s">
        <v>191</v>
      </c>
      <c r="B66" s="7" t="s">
        <v>194</v>
      </c>
      <c r="C66" s="24" t="s">
        <v>195</v>
      </c>
      <c r="D66" s="25">
        <v>0</v>
      </c>
      <c r="E66" s="25">
        <v>0</v>
      </c>
      <c r="F66" s="25">
        <v>0</v>
      </c>
      <c r="G66" s="25">
        <v>18000</v>
      </c>
      <c r="H66" s="25">
        <v>0</v>
      </c>
      <c r="I66" s="26">
        <f t="shared" si="1"/>
        <v>18000</v>
      </c>
    </row>
    <row r="67" spans="1:9" x14ac:dyDescent="0.25">
      <c r="A67" s="23" t="s">
        <v>191</v>
      </c>
      <c r="B67" s="7" t="s">
        <v>196</v>
      </c>
      <c r="C67" s="24" t="s">
        <v>197</v>
      </c>
      <c r="D67" s="25">
        <v>0</v>
      </c>
      <c r="E67" s="25">
        <v>0</v>
      </c>
      <c r="F67" s="25">
        <v>0</v>
      </c>
      <c r="G67" s="25">
        <v>120000</v>
      </c>
      <c r="H67" s="25">
        <v>6000</v>
      </c>
      <c r="I67" s="26">
        <f t="shared" si="1"/>
        <v>126000</v>
      </c>
    </row>
    <row r="68" spans="1:9" x14ac:dyDescent="0.25">
      <c r="A68" s="23" t="s">
        <v>191</v>
      </c>
      <c r="B68" s="7" t="s">
        <v>198</v>
      </c>
      <c r="C68" s="24" t="s">
        <v>199</v>
      </c>
      <c r="D68" s="25">
        <v>0</v>
      </c>
      <c r="E68" s="25">
        <v>41118</v>
      </c>
      <c r="F68" s="25">
        <v>0</v>
      </c>
      <c r="G68" s="25">
        <v>0</v>
      </c>
      <c r="H68" s="25">
        <v>0</v>
      </c>
      <c r="I68" s="26">
        <f t="shared" si="1"/>
        <v>41118</v>
      </c>
    </row>
    <row r="69" spans="1:9" x14ac:dyDescent="0.25">
      <c r="A69" s="23" t="s">
        <v>191</v>
      </c>
      <c r="B69" s="7" t="s">
        <v>200</v>
      </c>
      <c r="C69" s="24" t="s">
        <v>201</v>
      </c>
      <c r="D69" s="25">
        <v>0</v>
      </c>
      <c r="E69" s="25">
        <v>0</v>
      </c>
      <c r="F69" s="25">
        <v>60017</v>
      </c>
      <c r="G69" s="25">
        <v>0</v>
      </c>
      <c r="H69" s="25">
        <v>37350</v>
      </c>
      <c r="I69" s="26">
        <f t="shared" ref="I69:I100" si="2">SUM(D69:H69)</f>
        <v>97367</v>
      </c>
    </row>
    <row r="70" spans="1:9" x14ac:dyDescent="0.25">
      <c r="A70" s="23" t="s">
        <v>191</v>
      </c>
      <c r="B70" s="7" t="s">
        <v>202</v>
      </c>
      <c r="C70" s="24" t="s">
        <v>203</v>
      </c>
      <c r="D70" s="25">
        <v>0</v>
      </c>
      <c r="E70" s="25">
        <v>0</v>
      </c>
      <c r="F70" s="25">
        <v>169710</v>
      </c>
      <c r="G70" s="25">
        <v>58000</v>
      </c>
      <c r="H70" s="25">
        <v>6600</v>
      </c>
      <c r="I70" s="26">
        <f t="shared" si="2"/>
        <v>234310</v>
      </c>
    </row>
    <row r="71" spans="1:9" x14ac:dyDescent="0.25">
      <c r="A71" s="23" t="s">
        <v>191</v>
      </c>
      <c r="B71" s="7" t="s">
        <v>204</v>
      </c>
      <c r="C71" s="24" t="s">
        <v>205</v>
      </c>
      <c r="D71" s="25">
        <v>0</v>
      </c>
      <c r="E71" s="25">
        <v>0</v>
      </c>
      <c r="F71" s="25">
        <v>33836</v>
      </c>
      <c r="G71" s="25">
        <v>0</v>
      </c>
      <c r="H71" s="25">
        <v>56000</v>
      </c>
      <c r="I71" s="26">
        <f t="shared" si="2"/>
        <v>89836</v>
      </c>
    </row>
    <row r="72" spans="1:9" x14ac:dyDescent="0.25">
      <c r="A72" s="23" t="s">
        <v>206</v>
      </c>
      <c r="B72" s="7" t="s">
        <v>207</v>
      </c>
      <c r="C72" s="24" t="s">
        <v>208</v>
      </c>
      <c r="D72" s="25">
        <v>0</v>
      </c>
      <c r="E72" s="25">
        <v>135000</v>
      </c>
      <c r="F72" s="25">
        <v>701540</v>
      </c>
      <c r="G72" s="25">
        <v>0</v>
      </c>
      <c r="H72" s="25">
        <v>0</v>
      </c>
      <c r="I72" s="26">
        <f t="shared" si="2"/>
        <v>836540</v>
      </c>
    </row>
    <row r="73" spans="1:9" x14ac:dyDescent="0.25">
      <c r="A73" s="23" t="s">
        <v>206</v>
      </c>
      <c r="B73" s="7" t="s">
        <v>209</v>
      </c>
      <c r="C73" s="24" t="s">
        <v>210</v>
      </c>
      <c r="D73" s="25">
        <v>0</v>
      </c>
      <c r="E73" s="25">
        <v>0</v>
      </c>
      <c r="F73" s="25">
        <v>400000</v>
      </c>
      <c r="G73" s="25">
        <v>200000</v>
      </c>
      <c r="H73" s="25">
        <v>200000</v>
      </c>
      <c r="I73" s="26">
        <f t="shared" si="2"/>
        <v>800000</v>
      </c>
    </row>
    <row r="74" spans="1:9" x14ac:dyDescent="0.25">
      <c r="A74" s="23" t="s">
        <v>206</v>
      </c>
      <c r="B74" s="7" t="s">
        <v>211</v>
      </c>
      <c r="C74" s="24" t="s">
        <v>212</v>
      </c>
      <c r="D74" s="25">
        <v>0</v>
      </c>
      <c r="E74" s="25">
        <v>0</v>
      </c>
      <c r="F74" s="25">
        <v>0</v>
      </c>
      <c r="G74" s="25">
        <v>500000</v>
      </c>
      <c r="H74" s="25">
        <v>200000</v>
      </c>
      <c r="I74" s="26">
        <f t="shared" si="2"/>
        <v>700000</v>
      </c>
    </row>
    <row r="75" spans="1:9" x14ac:dyDescent="0.25">
      <c r="A75" s="23" t="s">
        <v>213</v>
      </c>
      <c r="B75" s="7" t="s">
        <v>214</v>
      </c>
      <c r="C75" s="24" t="s">
        <v>215</v>
      </c>
      <c r="D75" s="25">
        <v>0</v>
      </c>
      <c r="E75" s="25">
        <v>2000000</v>
      </c>
      <c r="F75" s="25">
        <v>599640</v>
      </c>
      <c r="G75" s="25">
        <v>0</v>
      </c>
      <c r="H75" s="25">
        <v>0</v>
      </c>
      <c r="I75" s="26">
        <f t="shared" si="2"/>
        <v>2599640</v>
      </c>
    </row>
    <row r="76" spans="1:9" x14ac:dyDescent="0.25">
      <c r="A76" s="23" t="s">
        <v>216</v>
      </c>
      <c r="B76" s="7" t="s">
        <v>217</v>
      </c>
      <c r="C76" s="24" t="s">
        <v>218</v>
      </c>
      <c r="D76" s="25">
        <v>50000</v>
      </c>
      <c r="E76" s="25">
        <v>0</v>
      </c>
      <c r="F76" s="25">
        <v>25000</v>
      </c>
      <c r="G76" s="25">
        <v>60000</v>
      </c>
      <c r="H76" s="25">
        <v>0</v>
      </c>
      <c r="I76" s="26">
        <f t="shared" si="2"/>
        <v>135000</v>
      </c>
    </row>
    <row r="77" spans="1:9" x14ac:dyDescent="0.25">
      <c r="A77" s="23" t="s">
        <v>216</v>
      </c>
      <c r="B77" s="7" t="s">
        <v>219</v>
      </c>
      <c r="C77" s="24" t="s">
        <v>220</v>
      </c>
      <c r="D77" s="25">
        <v>52000</v>
      </c>
      <c r="E77" s="25">
        <v>0</v>
      </c>
      <c r="F77" s="25">
        <v>0</v>
      </c>
      <c r="G77" s="25">
        <v>66786.14</v>
      </c>
      <c r="H77" s="25">
        <v>0</v>
      </c>
      <c r="I77" s="26">
        <f t="shared" si="2"/>
        <v>118786.14</v>
      </c>
    </row>
    <row r="78" spans="1:9" x14ac:dyDescent="0.25">
      <c r="A78" s="23" t="s">
        <v>216</v>
      </c>
      <c r="B78" s="7" t="s">
        <v>221</v>
      </c>
      <c r="C78" s="24" t="s">
        <v>222</v>
      </c>
      <c r="D78" s="25">
        <v>0</v>
      </c>
      <c r="E78" s="25">
        <v>0</v>
      </c>
      <c r="F78" s="25">
        <v>2583098</v>
      </c>
      <c r="G78" s="25">
        <v>0</v>
      </c>
      <c r="H78" s="25">
        <v>0</v>
      </c>
      <c r="I78" s="26">
        <f t="shared" si="2"/>
        <v>2583098</v>
      </c>
    </row>
    <row r="79" spans="1:9" x14ac:dyDescent="0.25">
      <c r="A79" s="23" t="s">
        <v>216</v>
      </c>
      <c r="B79" s="7" t="s">
        <v>223</v>
      </c>
      <c r="C79" s="24" t="s">
        <v>224</v>
      </c>
      <c r="D79" s="25">
        <v>367.37</v>
      </c>
      <c r="E79" s="25">
        <v>0</v>
      </c>
      <c r="F79" s="25">
        <v>28.96</v>
      </c>
      <c r="G79" s="25">
        <v>4083.15</v>
      </c>
      <c r="H79" s="25">
        <v>113.88</v>
      </c>
      <c r="I79" s="26">
        <f t="shared" si="2"/>
        <v>4593.3600000000006</v>
      </c>
    </row>
    <row r="80" spans="1:9" x14ac:dyDescent="0.25">
      <c r="A80" s="23" t="s">
        <v>216</v>
      </c>
      <c r="B80" s="7" t="s">
        <v>225</v>
      </c>
      <c r="C80" s="24" t="s">
        <v>226</v>
      </c>
      <c r="D80" s="25">
        <v>48.42</v>
      </c>
      <c r="E80" s="25">
        <v>0</v>
      </c>
      <c r="F80" s="25">
        <v>7.47</v>
      </c>
      <c r="G80" s="25">
        <v>383.08</v>
      </c>
      <c r="H80" s="25">
        <v>361.39</v>
      </c>
      <c r="I80" s="26">
        <f t="shared" si="2"/>
        <v>800.3599999999999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3"/>
  <sheetViews>
    <sheetView showGridLines="0" zoomScaleNormal="100" workbookViewId="0"/>
  </sheetViews>
  <sheetFormatPr defaultColWidth="8.7109375" defaultRowHeight="15" x14ac:dyDescent="0.25"/>
  <cols>
    <col min="1" max="1" width="115" customWidth="1"/>
  </cols>
  <sheetData>
    <row r="1" spans="1:1" ht="16.5" x14ac:dyDescent="0.25">
      <c r="A1" s="22" t="s">
        <v>227</v>
      </c>
    </row>
    <row r="3" spans="1:1" ht="45.75" customHeight="1" x14ac:dyDescent="0.25">
      <c r="A3" s="27" t="s">
        <v>228</v>
      </c>
    </row>
    <row r="5" spans="1:1" ht="45.75" customHeight="1" x14ac:dyDescent="0.25">
      <c r="A5" s="27" t="s">
        <v>229</v>
      </c>
    </row>
    <row r="7" spans="1:1" ht="45.75" customHeight="1" x14ac:dyDescent="0.25">
      <c r="A7" s="27" t="s">
        <v>230</v>
      </c>
    </row>
    <row r="9" spans="1:1" ht="45.75" customHeight="1" x14ac:dyDescent="0.25">
      <c r="A9" s="27" t="s">
        <v>231</v>
      </c>
    </row>
    <row r="11" spans="1:1" ht="45.75" customHeight="1" x14ac:dyDescent="0.25">
      <c r="A11" s="27" t="s">
        <v>232</v>
      </c>
    </row>
    <row r="13" spans="1:1" ht="45.75" customHeight="1" x14ac:dyDescent="0.25">
      <c r="A13" s="27" t="s">
        <v>233</v>
      </c>
    </row>
    <row r="15" spans="1:1" ht="45.75" customHeight="1" x14ac:dyDescent="0.25">
      <c r="A15" s="27" t="s">
        <v>234</v>
      </c>
    </row>
    <row r="17" spans="1:1" ht="45.75" customHeight="1" x14ac:dyDescent="0.25">
      <c r="A17" s="27" t="s">
        <v>235</v>
      </c>
    </row>
    <row r="19" spans="1:1" ht="45.75" customHeight="1" x14ac:dyDescent="0.25">
      <c r="A19" s="27" t="s">
        <v>236</v>
      </c>
    </row>
    <row r="21" spans="1:1" ht="45.75" customHeight="1" x14ac:dyDescent="0.25">
      <c r="A21" s="27" t="s">
        <v>237</v>
      </c>
    </row>
    <row r="23" spans="1:1" ht="45.75" customHeight="1" x14ac:dyDescent="0.25">
      <c r="A23" s="27" t="s">
        <v>238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P&amp;L</vt:lpstr>
      <vt:lpstr>Cash Flow</vt:lpstr>
      <vt:lpstr>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Ilnar U</cp:lastModifiedBy>
  <cp:revision>0</cp:revision>
  <dcterms:created xsi:type="dcterms:W3CDTF">2026-06-25T06:23:36Z</dcterms:created>
  <dcterms:modified xsi:type="dcterms:W3CDTF">2026-06-25T06:57:16Z</dcterms:modified>
  <dc:language>en-US</dc:language>
</cp:coreProperties>
</file>