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092b5f2f28d98/Desktop/"/>
    </mc:Choice>
  </mc:AlternateContent>
  <xr:revisionPtr revIDLastSave="1" documentId="8_{E5E38BEB-E7D7-4322-AB06-E5ADC6FA6F51}" xr6:coauthVersionLast="47" xr6:coauthVersionMax="47" xr10:uidLastSave="{37BA55F2-AB46-498F-90A6-A1EF2A1572C2}"/>
  <bookViews>
    <workbookView xWindow="-120" yWindow="-120" windowWidth="29040" windowHeight="15720" xr2:uid="{2772023E-118E-4403-994A-A9B096BD616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X3" i="1"/>
  <c r="CS3" i="1"/>
  <c r="BM3" i="1"/>
  <c r="AJ3" i="1"/>
  <c r="D3" i="1"/>
  <c r="MK81" i="1"/>
  <c r="LF81" i="1"/>
  <c r="JZ81" i="1"/>
  <c r="IU81" i="1"/>
  <c r="HO81" i="1"/>
  <c r="GI81" i="1"/>
  <c r="FD81" i="1"/>
  <c r="MK96" i="1"/>
  <c r="LF96" i="1"/>
  <c r="JZ96" i="1"/>
  <c r="IU96" i="1"/>
  <c r="HO96" i="1"/>
  <c r="GI96" i="1"/>
  <c r="FD96" i="1"/>
  <c r="MK95" i="1"/>
  <c r="LF95" i="1"/>
  <c r="JZ95" i="1"/>
  <c r="IU95" i="1"/>
  <c r="HO95" i="1"/>
  <c r="GI95" i="1"/>
  <c r="FD95" i="1"/>
  <c r="MK46" i="1"/>
  <c r="LF46" i="1"/>
  <c r="JZ46" i="1"/>
  <c r="IU46" i="1"/>
  <c r="HO46" i="1"/>
  <c r="GI46" i="1"/>
  <c r="FD46" i="1"/>
  <c r="MK94" i="1"/>
  <c r="LF94" i="1"/>
  <c r="JZ94" i="1"/>
  <c r="IU94" i="1"/>
  <c r="HO94" i="1"/>
  <c r="GI94" i="1"/>
  <c r="FD94" i="1"/>
  <c r="MK99" i="1"/>
  <c r="LF99" i="1"/>
  <c r="JZ99" i="1"/>
  <c r="IU99" i="1"/>
  <c r="HO99" i="1"/>
  <c r="GI99" i="1"/>
  <c r="FD99" i="1"/>
  <c r="MK90" i="1"/>
  <c r="LF90" i="1"/>
  <c r="JZ90" i="1"/>
  <c r="IU90" i="1"/>
  <c r="HO90" i="1"/>
  <c r="GI90" i="1"/>
  <c r="FD90" i="1"/>
  <c r="MK65" i="1"/>
  <c r="LF65" i="1"/>
  <c r="JZ65" i="1"/>
  <c r="IU65" i="1"/>
  <c r="HO65" i="1"/>
  <c r="GI65" i="1"/>
  <c r="FD65" i="1"/>
  <c r="DX65" i="1"/>
  <c r="BM65" i="1"/>
  <c r="AJ65" i="1"/>
  <c r="D65" i="1"/>
  <c r="DV65" i="1"/>
  <c r="CS65" i="1" s="1"/>
  <c r="MJ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H3" i="1"/>
  <c r="LG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JY3" i="1"/>
  <c r="JW3" i="1"/>
  <c r="JV3" i="1"/>
  <c r="JU3" i="1"/>
  <c r="JT3" i="1"/>
  <c r="JS3" i="1"/>
  <c r="JR3" i="1"/>
  <c r="JQ3" i="1"/>
  <c r="JP3" i="1"/>
  <c r="JN3" i="1"/>
  <c r="JM3" i="1"/>
  <c r="JL3" i="1"/>
  <c r="JK3" i="1"/>
  <c r="JJ3" i="1"/>
  <c r="JI3" i="1"/>
  <c r="JH3" i="1"/>
  <c r="JG3" i="1"/>
  <c r="JF3" i="1"/>
  <c r="JE3" i="1"/>
  <c r="JD3" i="1"/>
  <c r="JB3" i="1"/>
  <c r="JA3" i="1"/>
  <c r="IZ3" i="1"/>
  <c r="IY3" i="1"/>
  <c r="IX3" i="1"/>
  <c r="IW3" i="1"/>
  <c r="IV3" i="1"/>
  <c r="IT3" i="1"/>
  <c r="IS3" i="1"/>
  <c r="IR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R3" i="1"/>
  <c r="HQ3" i="1"/>
  <c r="HN3" i="1"/>
  <c r="HM3" i="1"/>
  <c r="HL3" i="1"/>
  <c r="HK3" i="1"/>
  <c r="HJ3" i="1"/>
  <c r="HI3" i="1"/>
  <c r="HH3" i="1"/>
  <c r="HE3" i="1"/>
  <c r="HC3" i="1"/>
  <c r="HB3" i="1"/>
  <c r="HA3" i="1"/>
  <c r="GZ3" i="1"/>
  <c r="GY3" i="1"/>
  <c r="GX3" i="1"/>
  <c r="GW3" i="1"/>
  <c r="GS3" i="1"/>
  <c r="GQ3" i="1"/>
  <c r="GP3" i="1"/>
  <c r="GO3" i="1"/>
  <c r="GN3" i="1"/>
  <c r="GM3" i="1"/>
  <c r="GL3" i="1"/>
  <c r="GK3" i="1"/>
  <c r="GJ3" i="1"/>
  <c r="GE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G3" i="1"/>
  <c r="FF3" i="1"/>
  <c r="FE3" i="1"/>
  <c r="ET106" i="1"/>
  <c r="EP106" i="1"/>
  <c r="EL106" i="1"/>
  <c r="EX106" i="1"/>
  <c r="DV106" i="1"/>
  <c r="DP106" i="1"/>
  <c r="DJ106" i="1"/>
  <c r="DI106" i="1"/>
  <c r="DG106" i="1"/>
  <c r="DF106" i="1"/>
  <c r="CY106" i="1"/>
  <c r="CV106" i="1"/>
  <c r="BZ106" i="1"/>
  <c r="CC106" i="1"/>
  <c r="CE106" i="1"/>
  <c r="MK115" i="1"/>
  <c r="MK114" i="1"/>
  <c r="MK112" i="1"/>
  <c r="MK111" i="1"/>
  <c r="MK84" i="1"/>
  <c r="MK89" i="1"/>
  <c r="MK88" i="1"/>
  <c r="MK80" i="1"/>
  <c r="MK72" i="1"/>
  <c r="MK79" i="1"/>
  <c r="MK78" i="1"/>
  <c r="MK58" i="1"/>
  <c r="MK69" i="1"/>
  <c r="MK68" i="1"/>
  <c r="MK41" i="1"/>
  <c r="MK36" i="1"/>
  <c r="MK40" i="1"/>
  <c r="MK47" i="1"/>
  <c r="MK20" i="1"/>
  <c r="MK15" i="1"/>
  <c r="MK19" i="1"/>
  <c r="MK11" i="1"/>
  <c r="MK10" i="1"/>
  <c r="MK118" i="1"/>
  <c r="MK117" i="1"/>
  <c r="MK104" i="1"/>
  <c r="MK85" i="1"/>
  <c r="MK93" i="1"/>
  <c r="MK77" i="1"/>
  <c r="MK103" i="1"/>
  <c r="MK102" i="1"/>
  <c r="MK98" i="1"/>
  <c r="MK75" i="1"/>
  <c r="MK101" i="1"/>
  <c r="MK76" i="1"/>
  <c r="MK54" i="1"/>
  <c r="MK53" i="1"/>
  <c r="MK71" i="1"/>
  <c r="MK70" i="1"/>
  <c r="MK55" i="1"/>
  <c r="MK100" i="1"/>
  <c r="MK87" i="1"/>
  <c r="MK67" i="1"/>
  <c r="MK52" i="1"/>
  <c r="MK86" i="1"/>
  <c r="MK66" i="1"/>
  <c r="MK64" i="1"/>
  <c r="MK62" i="1"/>
  <c r="MK51" i="1"/>
  <c r="MK63" i="1"/>
  <c r="MK59" i="1"/>
  <c r="MK97" i="1"/>
  <c r="MK106" i="1"/>
  <c r="MK50" i="1"/>
  <c r="MK45" i="1"/>
  <c r="MK44" i="1"/>
  <c r="MK39" i="1"/>
  <c r="MK38" i="1"/>
  <c r="MK37" i="1"/>
  <c r="MK35" i="1"/>
  <c r="MK32" i="1"/>
  <c r="MK31" i="1" s="1"/>
  <c r="MK29" i="1"/>
  <c r="MK28" i="1"/>
  <c r="MK27" i="1"/>
  <c r="MK14" i="1"/>
  <c r="MK18" i="1"/>
  <c r="MK9" i="1"/>
  <c r="MK8" i="1"/>
  <c r="NP3" i="1"/>
  <c r="JZ115" i="1"/>
  <c r="JZ114" i="1"/>
  <c r="JZ112" i="1"/>
  <c r="JZ111" i="1"/>
  <c r="JZ84" i="1"/>
  <c r="JZ89" i="1"/>
  <c r="JZ88" i="1"/>
  <c r="JZ80" i="1"/>
  <c r="JZ72" i="1"/>
  <c r="JZ79" i="1"/>
  <c r="JZ78" i="1"/>
  <c r="JZ58" i="1"/>
  <c r="JZ69" i="1"/>
  <c r="JZ68" i="1"/>
  <c r="JZ41" i="1"/>
  <c r="JZ36" i="1"/>
  <c r="JZ40" i="1"/>
  <c r="JZ47" i="1"/>
  <c r="JZ20" i="1"/>
  <c r="JZ15" i="1"/>
  <c r="JZ19" i="1"/>
  <c r="JZ11" i="1"/>
  <c r="JZ10" i="1"/>
  <c r="JZ118" i="1"/>
  <c r="JZ117" i="1"/>
  <c r="JZ104" i="1"/>
  <c r="JZ85" i="1"/>
  <c r="JZ93" i="1"/>
  <c r="JZ77" i="1"/>
  <c r="JZ103" i="1"/>
  <c r="JZ102" i="1"/>
  <c r="JZ98" i="1"/>
  <c r="JZ75" i="1"/>
  <c r="JZ101" i="1"/>
  <c r="JZ76" i="1"/>
  <c r="JZ54" i="1"/>
  <c r="JZ53" i="1"/>
  <c r="JZ71" i="1"/>
  <c r="JZ70" i="1"/>
  <c r="JZ55" i="1"/>
  <c r="JZ100" i="1"/>
  <c r="JZ87" i="1"/>
  <c r="JZ67" i="1"/>
  <c r="JZ52" i="1"/>
  <c r="JZ86" i="1"/>
  <c r="JZ66" i="1"/>
  <c r="JZ64" i="1"/>
  <c r="JZ62" i="1"/>
  <c r="JZ51" i="1"/>
  <c r="JZ63" i="1"/>
  <c r="JZ59" i="1"/>
  <c r="JZ97" i="1"/>
  <c r="JZ106" i="1"/>
  <c r="JZ50" i="1"/>
  <c r="JZ45" i="1"/>
  <c r="JZ44" i="1"/>
  <c r="JZ39" i="1"/>
  <c r="JZ38" i="1"/>
  <c r="JZ37" i="1"/>
  <c r="JZ35" i="1"/>
  <c r="JZ32" i="1"/>
  <c r="JZ31" i="1" s="1"/>
  <c r="JZ29" i="1"/>
  <c r="JZ28" i="1"/>
  <c r="JZ27" i="1"/>
  <c r="JZ14" i="1"/>
  <c r="JZ18" i="1"/>
  <c r="JZ9" i="1"/>
  <c r="JZ8" i="1"/>
  <c r="LF115" i="1"/>
  <c r="LF114" i="1"/>
  <c r="LF112" i="1"/>
  <c r="LF111" i="1"/>
  <c r="LF84" i="1"/>
  <c r="LF89" i="1"/>
  <c r="LF88" i="1"/>
  <c r="LF80" i="1"/>
  <c r="LF72" i="1"/>
  <c r="LF79" i="1"/>
  <c r="LF78" i="1"/>
  <c r="LF58" i="1"/>
  <c r="LF69" i="1"/>
  <c r="LF68" i="1"/>
  <c r="LF41" i="1"/>
  <c r="LF36" i="1"/>
  <c r="LF40" i="1"/>
  <c r="LF47" i="1"/>
  <c r="LF20" i="1"/>
  <c r="LF15" i="1"/>
  <c r="LF19" i="1"/>
  <c r="LF11" i="1"/>
  <c r="LF10" i="1"/>
  <c r="LF118" i="1"/>
  <c r="LF117" i="1"/>
  <c r="LF104" i="1"/>
  <c r="LF85" i="1"/>
  <c r="LF93" i="1"/>
  <c r="LF77" i="1"/>
  <c r="LF103" i="1"/>
  <c r="LF102" i="1"/>
  <c r="LF98" i="1"/>
  <c r="LF75" i="1"/>
  <c r="LF101" i="1"/>
  <c r="LF76" i="1"/>
  <c r="LF54" i="1"/>
  <c r="LF53" i="1"/>
  <c r="LF71" i="1"/>
  <c r="LF70" i="1"/>
  <c r="LF55" i="1"/>
  <c r="LF100" i="1"/>
  <c r="LF87" i="1"/>
  <c r="LF67" i="1"/>
  <c r="LF52" i="1"/>
  <c r="LF66" i="1"/>
  <c r="LF64" i="1"/>
  <c r="LF62" i="1"/>
  <c r="LF51" i="1"/>
  <c r="LF63" i="1"/>
  <c r="LF59" i="1"/>
  <c r="LF97" i="1"/>
  <c r="LF106" i="1"/>
  <c r="LF50" i="1"/>
  <c r="LF45" i="1"/>
  <c r="LF44" i="1"/>
  <c r="LF39" i="1"/>
  <c r="LF38" i="1"/>
  <c r="LF37" i="1"/>
  <c r="LF35" i="1"/>
  <c r="LF32" i="1"/>
  <c r="LF31" i="1" s="1"/>
  <c r="LF29" i="1"/>
  <c r="LF28" i="1"/>
  <c r="LF27" i="1"/>
  <c r="LF26" i="1" s="1"/>
  <c r="LF14" i="1"/>
  <c r="LF18" i="1"/>
  <c r="LF9" i="1"/>
  <c r="LF8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I3" i="1"/>
  <c r="LK3" i="1"/>
  <c r="LJ3" i="1"/>
  <c r="LI3" i="1"/>
  <c r="KA3" i="1"/>
  <c r="IU115" i="1"/>
  <c r="HO115" i="1"/>
  <c r="GI115" i="1"/>
  <c r="FD115" i="1"/>
  <c r="DX115" i="1"/>
  <c r="CS115" i="1"/>
  <c r="BM115" i="1"/>
  <c r="AJ115" i="1"/>
  <c r="D115" i="1"/>
  <c r="IU114" i="1"/>
  <c r="HO114" i="1"/>
  <c r="GI114" i="1"/>
  <c r="FD114" i="1"/>
  <c r="DX114" i="1"/>
  <c r="CS114" i="1"/>
  <c r="BM114" i="1"/>
  <c r="AJ114" i="1"/>
  <c r="D114" i="1"/>
  <c r="IU112" i="1"/>
  <c r="HO112" i="1"/>
  <c r="GI112" i="1"/>
  <c r="FD112" i="1"/>
  <c r="DX112" i="1"/>
  <c r="CS112" i="1"/>
  <c r="BM112" i="1"/>
  <c r="AJ112" i="1"/>
  <c r="D112" i="1"/>
  <c r="IU111" i="1"/>
  <c r="HO111" i="1"/>
  <c r="GI111" i="1"/>
  <c r="FD111" i="1"/>
  <c r="DX111" i="1"/>
  <c r="CS111" i="1"/>
  <c r="BM111" i="1"/>
  <c r="AJ111" i="1"/>
  <c r="H111" i="1"/>
  <c r="D111" i="1" s="1"/>
  <c r="IU84" i="1"/>
  <c r="HO84" i="1"/>
  <c r="GI84" i="1"/>
  <c r="FD84" i="1"/>
  <c r="DX84" i="1"/>
  <c r="CS84" i="1"/>
  <c r="BM84" i="1"/>
  <c r="AJ84" i="1"/>
  <c r="D84" i="1"/>
  <c r="DX96" i="1"/>
  <c r="CS96" i="1"/>
  <c r="BM96" i="1"/>
  <c r="AJ96" i="1"/>
  <c r="D96" i="1"/>
  <c r="DX81" i="1"/>
  <c r="CS81" i="1"/>
  <c r="BM81" i="1"/>
  <c r="AJ81" i="1"/>
  <c r="D81" i="1"/>
  <c r="DX95" i="1"/>
  <c r="CS95" i="1"/>
  <c r="BM95" i="1"/>
  <c r="AJ95" i="1"/>
  <c r="D95" i="1"/>
  <c r="DX90" i="1"/>
  <c r="CS90" i="1"/>
  <c r="BM90" i="1"/>
  <c r="AJ90" i="1"/>
  <c r="D90" i="1"/>
  <c r="DX46" i="1"/>
  <c r="CS46" i="1"/>
  <c r="BM46" i="1"/>
  <c r="AJ46" i="1"/>
  <c r="D46" i="1"/>
  <c r="DX94" i="1"/>
  <c r="CS94" i="1"/>
  <c r="BM94" i="1"/>
  <c r="AJ94" i="1"/>
  <c r="D94" i="1"/>
  <c r="DX99" i="1"/>
  <c r="CS99" i="1"/>
  <c r="BM99" i="1"/>
  <c r="AJ99" i="1"/>
  <c r="D99" i="1"/>
  <c r="IU89" i="1"/>
  <c r="HO89" i="1"/>
  <c r="GI89" i="1"/>
  <c r="FD89" i="1"/>
  <c r="DX89" i="1"/>
  <c r="CS89" i="1"/>
  <c r="CC89" i="1"/>
  <c r="BM89" i="1" s="1"/>
  <c r="AJ89" i="1"/>
  <c r="D89" i="1"/>
  <c r="IU88" i="1"/>
  <c r="HO88" i="1"/>
  <c r="GI88" i="1"/>
  <c r="FD88" i="1"/>
  <c r="DX88" i="1"/>
  <c r="CS88" i="1"/>
  <c r="BM88" i="1"/>
  <c r="AJ88" i="1"/>
  <c r="D88" i="1"/>
  <c r="IU80" i="1"/>
  <c r="HO80" i="1"/>
  <c r="GI80" i="1"/>
  <c r="FD80" i="1"/>
  <c r="DX80" i="1"/>
  <c r="CS80" i="1"/>
  <c r="BM80" i="1"/>
  <c r="AJ80" i="1"/>
  <c r="D80" i="1"/>
  <c r="IU72" i="1"/>
  <c r="HO72" i="1"/>
  <c r="GI72" i="1"/>
  <c r="FD72" i="1"/>
  <c r="DX72" i="1"/>
  <c r="CS72" i="1"/>
  <c r="BM72" i="1"/>
  <c r="AJ72" i="1"/>
  <c r="D72" i="1"/>
  <c r="IU79" i="1"/>
  <c r="HO79" i="1"/>
  <c r="GI79" i="1"/>
  <c r="FD79" i="1"/>
  <c r="DX79" i="1"/>
  <c r="CS79" i="1"/>
  <c r="BM79" i="1"/>
  <c r="AJ79" i="1"/>
  <c r="D79" i="1"/>
  <c r="IU78" i="1"/>
  <c r="HO78" i="1"/>
  <c r="GI78" i="1"/>
  <c r="FD78" i="1"/>
  <c r="DX78" i="1"/>
  <c r="CS78" i="1"/>
  <c r="BM78" i="1"/>
  <c r="BJ78" i="1"/>
  <c r="AJ78" i="1" s="1"/>
  <c r="D78" i="1"/>
  <c r="IU58" i="1"/>
  <c r="HO58" i="1"/>
  <c r="GI58" i="1"/>
  <c r="FD58" i="1"/>
  <c r="DX58" i="1"/>
  <c r="CS58" i="1"/>
  <c r="CE58" i="1"/>
  <c r="BM58" i="1" s="1"/>
  <c r="AJ58" i="1"/>
  <c r="D58" i="1"/>
  <c r="IU69" i="1"/>
  <c r="HO69" i="1"/>
  <c r="GI69" i="1"/>
  <c r="FD69" i="1"/>
  <c r="DX69" i="1"/>
  <c r="CS69" i="1"/>
  <c r="BM69" i="1"/>
  <c r="AJ69" i="1"/>
  <c r="D69" i="1"/>
  <c r="IU68" i="1"/>
  <c r="HO68" i="1"/>
  <c r="GI68" i="1"/>
  <c r="FD68" i="1"/>
  <c r="DX68" i="1"/>
  <c r="CS68" i="1"/>
  <c r="BM68" i="1"/>
  <c r="AJ68" i="1"/>
  <c r="D68" i="1"/>
  <c r="IU41" i="1"/>
  <c r="HO41" i="1"/>
  <c r="GI41" i="1"/>
  <c r="FD41" i="1"/>
  <c r="DX41" i="1"/>
  <c r="CS41" i="1"/>
  <c r="BM41" i="1"/>
  <c r="AJ41" i="1"/>
  <c r="D41" i="1"/>
  <c r="IU36" i="1"/>
  <c r="HO36" i="1"/>
  <c r="GI36" i="1"/>
  <c r="FD36" i="1"/>
  <c r="DX36" i="1"/>
  <c r="CS36" i="1"/>
  <c r="BM36" i="1"/>
  <c r="AJ36" i="1"/>
  <c r="D36" i="1"/>
  <c r="IU40" i="1"/>
  <c r="HO40" i="1"/>
  <c r="GI40" i="1"/>
  <c r="FD40" i="1"/>
  <c r="DX40" i="1"/>
  <c r="CS40" i="1"/>
  <c r="BM40" i="1"/>
  <c r="AJ40" i="1"/>
  <c r="D40" i="1"/>
  <c r="IU47" i="1"/>
  <c r="HO47" i="1"/>
  <c r="GI47" i="1"/>
  <c r="FD47" i="1"/>
  <c r="DX47" i="1"/>
  <c r="CS47" i="1"/>
  <c r="BM47" i="1"/>
  <c r="AJ47" i="1"/>
  <c r="D47" i="1"/>
  <c r="IU20" i="1"/>
  <c r="HO20" i="1"/>
  <c r="GI20" i="1"/>
  <c r="FD20" i="1"/>
  <c r="DX20" i="1"/>
  <c r="CS20" i="1"/>
  <c r="BM20" i="1"/>
  <c r="AJ20" i="1"/>
  <c r="D20" i="1"/>
  <c r="IU15" i="1"/>
  <c r="HO15" i="1"/>
  <c r="GI15" i="1"/>
  <c r="FD15" i="1"/>
  <c r="DX15" i="1"/>
  <c r="CS15" i="1"/>
  <c r="BM15" i="1"/>
  <c r="AJ15" i="1"/>
  <c r="R15" i="1"/>
  <c r="D15" i="1" s="1"/>
  <c r="IU19" i="1"/>
  <c r="HO19" i="1"/>
  <c r="GI19" i="1"/>
  <c r="FD19" i="1"/>
  <c r="DX19" i="1"/>
  <c r="CS19" i="1"/>
  <c r="BM19" i="1"/>
  <c r="AJ19" i="1"/>
  <c r="D19" i="1"/>
  <c r="IU11" i="1"/>
  <c r="HO11" i="1"/>
  <c r="GI11" i="1"/>
  <c r="FD11" i="1"/>
  <c r="DX11" i="1"/>
  <c r="CS11" i="1"/>
  <c r="BM11" i="1"/>
  <c r="AJ11" i="1"/>
  <c r="D11" i="1"/>
  <c r="IU10" i="1"/>
  <c r="HO10" i="1"/>
  <c r="GI10" i="1"/>
  <c r="FD10" i="1"/>
  <c r="DX10" i="1"/>
  <c r="CS10" i="1"/>
  <c r="BM10" i="1"/>
  <c r="AJ10" i="1"/>
  <c r="D10" i="1"/>
  <c r="IU118" i="1"/>
  <c r="HO118" i="1"/>
  <c r="GI118" i="1"/>
  <c r="FD118" i="1"/>
  <c r="DX118" i="1"/>
  <c r="CS118" i="1"/>
  <c r="BM118" i="1"/>
  <c r="AJ118" i="1"/>
  <c r="D118" i="1"/>
  <c r="IU117" i="1"/>
  <c r="HO117" i="1"/>
  <c r="GI117" i="1"/>
  <c r="FD117" i="1"/>
  <c r="DX117" i="1"/>
  <c r="CS117" i="1"/>
  <c r="BM117" i="1"/>
  <c r="AJ117" i="1"/>
  <c r="D117" i="1"/>
  <c r="IU104" i="1"/>
  <c r="HO104" i="1"/>
  <c r="GI104" i="1"/>
  <c r="FD104" i="1"/>
  <c r="DX104" i="1"/>
  <c r="CS104" i="1"/>
  <c r="BM104" i="1"/>
  <c r="AJ104" i="1"/>
  <c r="D104" i="1"/>
  <c r="IU85" i="1"/>
  <c r="HO85" i="1"/>
  <c r="GI85" i="1"/>
  <c r="FD85" i="1"/>
  <c r="DX85" i="1"/>
  <c r="CS85" i="1"/>
  <c r="BM85" i="1"/>
  <c r="AJ85" i="1"/>
  <c r="D85" i="1"/>
  <c r="IU93" i="1"/>
  <c r="HO93" i="1"/>
  <c r="GI93" i="1"/>
  <c r="FD93" i="1"/>
  <c r="DX93" i="1"/>
  <c r="CS93" i="1"/>
  <c r="BM93" i="1"/>
  <c r="AJ93" i="1"/>
  <c r="D93" i="1"/>
  <c r="IU77" i="1"/>
  <c r="HO77" i="1"/>
  <c r="GI77" i="1"/>
  <c r="FD77" i="1"/>
  <c r="DX77" i="1"/>
  <c r="CS77" i="1"/>
  <c r="BM77" i="1"/>
  <c r="AJ77" i="1"/>
  <c r="D77" i="1"/>
  <c r="IU103" i="1"/>
  <c r="HO103" i="1"/>
  <c r="GI103" i="1"/>
  <c r="FD103" i="1"/>
  <c r="DX103" i="1"/>
  <c r="CS103" i="1"/>
  <c r="BM103" i="1"/>
  <c r="AJ103" i="1"/>
  <c r="D103" i="1"/>
  <c r="IU102" i="1"/>
  <c r="HO102" i="1"/>
  <c r="GI102" i="1"/>
  <c r="FD102" i="1"/>
  <c r="DX102" i="1"/>
  <c r="CS102" i="1"/>
  <c r="BM102" i="1"/>
  <c r="AJ102" i="1"/>
  <c r="D102" i="1"/>
  <c r="IU98" i="1"/>
  <c r="HO98" i="1"/>
  <c r="GI98" i="1"/>
  <c r="FD98" i="1"/>
  <c r="DX98" i="1"/>
  <c r="CS98" i="1"/>
  <c r="BM98" i="1"/>
  <c r="AJ98" i="1"/>
  <c r="D98" i="1"/>
  <c r="IU75" i="1"/>
  <c r="HO75" i="1"/>
  <c r="GI75" i="1"/>
  <c r="FD75" i="1"/>
  <c r="DX75" i="1"/>
  <c r="CS75" i="1"/>
  <c r="BM75" i="1"/>
  <c r="AJ75" i="1"/>
  <c r="D75" i="1"/>
  <c r="IU101" i="1"/>
  <c r="HO101" i="1"/>
  <c r="GI101" i="1"/>
  <c r="FD101" i="1"/>
  <c r="DX101" i="1"/>
  <c r="CS101" i="1"/>
  <c r="BM101" i="1"/>
  <c r="AJ101" i="1"/>
  <c r="D101" i="1"/>
  <c r="IU76" i="1"/>
  <c r="HO76" i="1"/>
  <c r="GI76" i="1"/>
  <c r="FD76" i="1"/>
  <c r="DX76" i="1"/>
  <c r="CS76" i="1"/>
  <c r="BM76" i="1"/>
  <c r="AJ76" i="1"/>
  <c r="D76" i="1"/>
  <c r="IU54" i="1"/>
  <c r="HO54" i="1"/>
  <c r="GI54" i="1"/>
  <c r="FD54" i="1"/>
  <c r="DX54" i="1"/>
  <c r="CS54" i="1"/>
  <c r="BM54" i="1"/>
  <c r="AJ54" i="1"/>
  <c r="D54" i="1"/>
  <c r="IU53" i="1"/>
  <c r="HO53" i="1"/>
  <c r="GI53" i="1"/>
  <c r="FD53" i="1"/>
  <c r="DX53" i="1"/>
  <c r="CS53" i="1"/>
  <c r="BM53" i="1"/>
  <c r="AJ53" i="1"/>
  <c r="D53" i="1"/>
  <c r="IU71" i="1"/>
  <c r="HO71" i="1"/>
  <c r="GI71" i="1"/>
  <c r="FD71" i="1"/>
  <c r="DX71" i="1"/>
  <c r="CS71" i="1"/>
  <c r="BM71" i="1"/>
  <c r="AJ71" i="1"/>
  <c r="D71" i="1"/>
  <c r="IU70" i="1"/>
  <c r="HO70" i="1"/>
  <c r="GI70" i="1"/>
  <c r="FD70" i="1"/>
  <c r="DX70" i="1"/>
  <c r="CS70" i="1"/>
  <c r="BM70" i="1"/>
  <c r="AJ70" i="1"/>
  <c r="D70" i="1"/>
  <c r="IU55" i="1"/>
  <c r="HO55" i="1"/>
  <c r="GI55" i="1"/>
  <c r="FD55" i="1"/>
  <c r="DX55" i="1"/>
  <c r="CS55" i="1"/>
  <c r="BM55" i="1"/>
  <c r="AJ55" i="1"/>
  <c r="D55" i="1"/>
  <c r="IU100" i="1"/>
  <c r="HO100" i="1"/>
  <c r="GI100" i="1"/>
  <c r="FD100" i="1"/>
  <c r="DX100" i="1"/>
  <c r="CS100" i="1"/>
  <c r="BM100" i="1"/>
  <c r="AJ100" i="1"/>
  <c r="D100" i="1"/>
  <c r="IU87" i="1"/>
  <c r="HO87" i="1"/>
  <c r="GI87" i="1"/>
  <c r="FD87" i="1"/>
  <c r="DX87" i="1"/>
  <c r="CS87" i="1"/>
  <c r="BM87" i="1"/>
  <c r="AJ87" i="1"/>
  <c r="D87" i="1"/>
  <c r="IU67" i="1"/>
  <c r="HO67" i="1"/>
  <c r="GI67" i="1"/>
  <c r="FD67" i="1"/>
  <c r="DX67" i="1"/>
  <c r="CS67" i="1"/>
  <c r="BM67" i="1"/>
  <c r="AJ67" i="1"/>
  <c r="D67" i="1"/>
  <c r="IU52" i="1"/>
  <c r="HO52" i="1"/>
  <c r="GI52" i="1"/>
  <c r="FD52" i="1"/>
  <c r="DX52" i="1"/>
  <c r="CS52" i="1"/>
  <c r="BM52" i="1"/>
  <c r="AJ52" i="1"/>
  <c r="D52" i="1"/>
  <c r="HO86" i="1"/>
  <c r="GI86" i="1"/>
  <c r="DX86" i="1"/>
  <c r="CS86" i="1"/>
  <c r="BM86" i="1"/>
  <c r="AJ86" i="1"/>
  <c r="D86" i="1"/>
  <c r="IU66" i="1"/>
  <c r="HO66" i="1"/>
  <c r="GI66" i="1"/>
  <c r="FD66" i="1"/>
  <c r="DX66" i="1"/>
  <c r="CS66" i="1"/>
  <c r="BM66" i="1"/>
  <c r="AJ66" i="1"/>
  <c r="D66" i="1"/>
  <c r="IU64" i="1"/>
  <c r="HO64" i="1"/>
  <c r="GI64" i="1"/>
  <c r="FD64" i="1"/>
  <c r="DX64" i="1"/>
  <c r="CS64" i="1"/>
  <c r="BM64" i="1"/>
  <c r="AJ64" i="1"/>
  <c r="D64" i="1"/>
  <c r="IU62" i="1"/>
  <c r="HO62" i="1"/>
  <c r="GI62" i="1"/>
  <c r="FD62" i="1"/>
  <c r="DX62" i="1"/>
  <c r="CS62" i="1"/>
  <c r="BM62" i="1"/>
  <c r="AJ62" i="1"/>
  <c r="D62" i="1"/>
  <c r="IU51" i="1"/>
  <c r="HO51" i="1"/>
  <c r="GI51" i="1"/>
  <c r="FD51" i="1"/>
  <c r="DX51" i="1"/>
  <c r="CS51" i="1"/>
  <c r="BM51" i="1"/>
  <c r="AJ51" i="1"/>
  <c r="D51" i="1"/>
  <c r="IU63" i="1"/>
  <c r="HO63" i="1"/>
  <c r="GI63" i="1"/>
  <c r="FD63" i="1"/>
  <c r="DX63" i="1"/>
  <c r="CS63" i="1"/>
  <c r="BM63" i="1"/>
  <c r="AJ63" i="1"/>
  <c r="D63" i="1"/>
  <c r="IU59" i="1"/>
  <c r="HO59" i="1"/>
  <c r="GI59" i="1"/>
  <c r="FD59" i="1"/>
  <c r="DX59" i="1"/>
  <c r="DX57" i="1" s="1"/>
  <c r="CS59" i="1"/>
  <c r="BM59" i="1"/>
  <c r="AJ59" i="1"/>
  <c r="D59" i="1"/>
  <c r="IU97" i="1"/>
  <c r="HO97" i="1"/>
  <c r="GI97" i="1"/>
  <c r="FD97" i="1"/>
  <c r="DX97" i="1"/>
  <c r="CS97" i="1"/>
  <c r="BM97" i="1"/>
  <c r="AJ97" i="1"/>
  <c r="IU106" i="1"/>
  <c r="HO106" i="1"/>
  <c r="GI106" i="1"/>
  <c r="FD106" i="1"/>
  <c r="FA106" i="1"/>
  <c r="EZ106" i="1"/>
  <c r="EW106" i="1"/>
  <c r="EQ106" i="1"/>
  <c r="EM106" i="1"/>
  <c r="EK106" i="1"/>
  <c r="EJ106" i="1"/>
  <c r="DW106" i="1"/>
  <c r="DU106" i="1"/>
  <c r="DQ106" i="1"/>
  <c r="DO106" i="1"/>
  <c r="DM106" i="1"/>
  <c r="DH106" i="1"/>
  <c r="DC106" i="1"/>
  <c r="DB106" i="1"/>
  <c r="DA106" i="1"/>
  <c r="CU106" i="1"/>
  <c r="CK106" i="1"/>
  <c r="CJ106" i="1"/>
  <c r="CF106" i="1"/>
  <c r="CD106" i="1"/>
  <c r="BY106" i="1"/>
  <c r="BV106" i="1"/>
  <c r="BS106" i="1"/>
  <c r="BR106" i="1"/>
  <c r="BJ106" i="1"/>
  <c r="BI106" i="1"/>
  <c r="AW106" i="1"/>
  <c r="AU106" i="1"/>
  <c r="AT106" i="1"/>
  <c r="AS106" i="1"/>
  <c r="AP106" i="1"/>
  <c r="AO106" i="1"/>
  <c r="AM106" i="1"/>
  <c r="AF106" i="1"/>
  <c r="AD106" i="1"/>
  <c r="AA106" i="1"/>
  <c r="Z106" i="1"/>
  <c r="W106" i="1"/>
  <c r="S106" i="1"/>
  <c r="R106" i="1"/>
  <c r="Q106" i="1"/>
  <c r="P106" i="1"/>
  <c r="IU50" i="1"/>
  <c r="HO50" i="1"/>
  <c r="GI50" i="1"/>
  <c r="FD50" i="1"/>
  <c r="DX50" i="1"/>
  <c r="CS50" i="1"/>
  <c r="BM50" i="1"/>
  <c r="AJ50" i="1"/>
  <c r="D50" i="1"/>
  <c r="IU45" i="1"/>
  <c r="HO45" i="1"/>
  <c r="GI45" i="1"/>
  <c r="FD45" i="1"/>
  <c r="DX45" i="1"/>
  <c r="CS45" i="1"/>
  <c r="BM45" i="1"/>
  <c r="AJ45" i="1"/>
  <c r="D45" i="1"/>
  <c r="IU44" i="1"/>
  <c r="HO44" i="1"/>
  <c r="GI44" i="1"/>
  <c r="FD44" i="1"/>
  <c r="DX44" i="1"/>
  <c r="CS44" i="1"/>
  <c r="BM44" i="1"/>
  <c r="AJ44" i="1"/>
  <c r="D44" i="1"/>
  <c r="IU39" i="1"/>
  <c r="HO39" i="1"/>
  <c r="GI39" i="1"/>
  <c r="FD39" i="1"/>
  <c r="EQ39" i="1"/>
  <c r="DX39" i="1" s="1"/>
  <c r="CS39" i="1"/>
  <c r="BM39" i="1"/>
  <c r="AJ39" i="1"/>
  <c r="D39" i="1"/>
  <c r="IU38" i="1"/>
  <c r="HO38" i="1"/>
  <c r="GI38" i="1"/>
  <c r="FD38" i="1"/>
  <c r="EQ38" i="1"/>
  <c r="DX38" i="1" s="1"/>
  <c r="DM38" i="1"/>
  <c r="DJ38" i="1"/>
  <c r="BM38" i="1"/>
  <c r="AJ38" i="1"/>
  <c r="D38" i="1"/>
  <c r="IU37" i="1"/>
  <c r="HO37" i="1"/>
  <c r="GI37" i="1"/>
  <c r="FD37" i="1"/>
  <c r="EQ37" i="1"/>
  <c r="DX37" i="1" s="1"/>
  <c r="DM37" i="1"/>
  <c r="DJ37" i="1"/>
  <c r="BM37" i="1"/>
  <c r="AJ37" i="1"/>
  <c r="D37" i="1"/>
  <c r="IU35" i="1"/>
  <c r="HO35" i="1"/>
  <c r="GI35" i="1"/>
  <c r="FD35" i="1"/>
  <c r="ER35" i="1"/>
  <c r="EK35" i="1"/>
  <c r="DW35" i="1"/>
  <c r="DM35" i="1"/>
  <c r="CY35" i="1"/>
  <c r="BM35" i="1"/>
  <c r="AJ35" i="1"/>
  <c r="P35" i="1"/>
  <c r="D35" i="1" s="1"/>
  <c r="IU32" i="1"/>
  <c r="IU31" i="1" s="1"/>
  <c r="HO32" i="1"/>
  <c r="HO31" i="1" s="1"/>
  <c r="GI32" i="1"/>
  <c r="GI31" i="1" s="1"/>
  <c r="FD32" i="1"/>
  <c r="FD31" i="1" s="1"/>
  <c r="EP32" i="1"/>
  <c r="DX32" i="1" s="1"/>
  <c r="DX31" i="1" s="1"/>
  <c r="DH32" i="1"/>
  <c r="DG32" i="1"/>
  <c r="CF32" i="1"/>
  <c r="AJ32" i="1"/>
  <c r="AJ31" i="1" s="1"/>
  <c r="D32" i="1"/>
  <c r="D31" i="1" s="1"/>
  <c r="IU29" i="1"/>
  <c r="HO29" i="1"/>
  <c r="GI29" i="1"/>
  <c r="FD29" i="1"/>
  <c r="FA29" i="1"/>
  <c r="EZ29" i="1"/>
  <c r="EX29" i="1"/>
  <c r="EW29" i="1"/>
  <c r="DT29" i="1"/>
  <c r="DQ29" i="1"/>
  <c r="DP29" i="1"/>
  <c r="DJ29" i="1"/>
  <c r="DI29" i="1"/>
  <c r="CQ29" i="1"/>
  <c r="CM29" i="1"/>
  <c r="BJ29" i="1"/>
  <c r="AW29" i="1"/>
  <c r="AH29" i="1"/>
  <c r="AG29" i="1"/>
  <c r="Z29" i="1"/>
  <c r="W29" i="1"/>
  <c r="S29" i="1"/>
  <c r="R29" i="1"/>
  <c r="Q29" i="1"/>
  <c r="P29" i="1"/>
  <c r="IU28" i="1"/>
  <c r="HO28" i="1"/>
  <c r="GI28" i="1"/>
  <c r="FD28" i="1"/>
  <c r="FA28" i="1"/>
  <c r="EZ28" i="1"/>
  <c r="EX28" i="1"/>
  <c r="EW28" i="1"/>
  <c r="ET28" i="1"/>
  <c r="ES28" i="1"/>
  <c r="ER28" i="1"/>
  <c r="EQ28" i="1"/>
  <c r="EP28" i="1"/>
  <c r="EM28" i="1"/>
  <c r="EL28" i="1"/>
  <c r="EK28" i="1"/>
  <c r="EJ28" i="1"/>
  <c r="EI28" i="1"/>
  <c r="DW28" i="1"/>
  <c r="DV28" i="1"/>
  <c r="DU28" i="1"/>
  <c r="DT28" i="1"/>
  <c r="DQ28" i="1"/>
  <c r="DP28" i="1"/>
  <c r="DO28" i="1"/>
  <c r="DN28" i="1"/>
  <c r="DM28" i="1"/>
  <c r="DJ28" i="1"/>
  <c r="DI28" i="1"/>
  <c r="DH28" i="1"/>
  <c r="DG28" i="1"/>
  <c r="DF28" i="1"/>
  <c r="DC28" i="1"/>
  <c r="DB28" i="1"/>
  <c r="DA28" i="1"/>
  <c r="CZ28" i="1"/>
  <c r="CY28" i="1"/>
  <c r="CV28" i="1"/>
  <c r="CU28" i="1"/>
  <c r="CT28" i="1"/>
  <c r="CR28" i="1"/>
  <c r="CQ28" i="1"/>
  <c r="CN28" i="1"/>
  <c r="CM28" i="1"/>
  <c r="CL28" i="1"/>
  <c r="CK28" i="1"/>
  <c r="CJ28" i="1"/>
  <c r="CF28" i="1"/>
  <c r="CE28" i="1"/>
  <c r="CD28" i="1"/>
  <c r="CC28" i="1"/>
  <c r="BZ28" i="1"/>
  <c r="BY28" i="1"/>
  <c r="BX28" i="1"/>
  <c r="BW28" i="1"/>
  <c r="BV28" i="1"/>
  <c r="BS28" i="1"/>
  <c r="BR28" i="1"/>
  <c r="BQ28" i="1"/>
  <c r="BP28" i="1"/>
  <c r="BN28" i="1"/>
  <c r="BK28" i="1"/>
  <c r="BI28" i="1"/>
  <c r="BH28" i="1"/>
  <c r="BG28" i="1"/>
  <c r="BD28" i="1"/>
  <c r="BC28" i="1"/>
  <c r="BA28" i="1"/>
  <c r="AZ28" i="1"/>
  <c r="AW28" i="1"/>
  <c r="AV28" i="1"/>
  <c r="AU28" i="1"/>
  <c r="AT28" i="1"/>
  <c r="AS28" i="1"/>
  <c r="AP28" i="1"/>
  <c r="AO28" i="1"/>
  <c r="AN28" i="1"/>
  <c r="AM28" i="1"/>
  <c r="AL28" i="1"/>
  <c r="AH28" i="1"/>
  <c r="AG28" i="1"/>
  <c r="AF28" i="1"/>
  <c r="AE28" i="1"/>
  <c r="AD28" i="1"/>
  <c r="AA28" i="1"/>
  <c r="Z28" i="1"/>
  <c r="Y28" i="1"/>
  <c r="X28" i="1"/>
  <c r="W28" i="1"/>
  <c r="T28" i="1"/>
  <c r="S28" i="1"/>
  <c r="R28" i="1"/>
  <c r="Q28" i="1"/>
  <c r="P28" i="1"/>
  <c r="IU27" i="1"/>
  <c r="HO27" i="1"/>
  <c r="GI27" i="1"/>
  <c r="FD27" i="1"/>
  <c r="DX27" i="1"/>
  <c r="DW27" i="1"/>
  <c r="CS27" i="1" s="1"/>
  <c r="BM27" i="1"/>
  <c r="AO27" i="1"/>
  <c r="AJ27" i="1" s="1"/>
  <c r="AF27" i="1"/>
  <c r="P27" i="1"/>
  <c r="IU14" i="1"/>
  <c r="HO14" i="1"/>
  <c r="GI14" i="1"/>
  <c r="FD14" i="1"/>
  <c r="FA14" i="1"/>
  <c r="EX14" i="1"/>
  <c r="EW14" i="1"/>
  <c r="ET14" i="1"/>
  <c r="ES14" i="1"/>
  <c r="ER14" i="1"/>
  <c r="EQ14" i="1"/>
  <c r="EP14" i="1"/>
  <c r="EM14" i="1"/>
  <c r="EL14" i="1"/>
  <c r="EK14" i="1"/>
  <c r="EJ14" i="1"/>
  <c r="DW14" i="1"/>
  <c r="DV14" i="1"/>
  <c r="DU14" i="1"/>
  <c r="DT14" i="1"/>
  <c r="DP14" i="1"/>
  <c r="DN14" i="1"/>
  <c r="DM14" i="1"/>
  <c r="DJ14" i="1"/>
  <c r="DI14" i="1"/>
  <c r="DG14" i="1"/>
  <c r="DB14" i="1"/>
  <c r="DA14" i="1"/>
  <c r="CZ14" i="1"/>
  <c r="CU14" i="1"/>
  <c r="CT14" i="1"/>
  <c r="CR14" i="1"/>
  <c r="CM14" i="1"/>
  <c r="CL14" i="1"/>
  <c r="CK14" i="1"/>
  <c r="CE14" i="1"/>
  <c r="CD14" i="1"/>
  <c r="CC14" i="1"/>
  <c r="BX14" i="1"/>
  <c r="BW14" i="1"/>
  <c r="BV14" i="1"/>
  <c r="BS14" i="1"/>
  <c r="BR14" i="1"/>
  <c r="BQ14" i="1"/>
  <c r="BK14" i="1"/>
  <c r="BI14" i="1"/>
  <c r="BG14" i="1"/>
  <c r="BD14" i="1"/>
  <c r="BC14" i="1"/>
  <c r="AU14" i="1"/>
  <c r="AS14" i="1"/>
  <c r="AO14" i="1"/>
  <c r="AN14" i="1"/>
  <c r="AM14" i="1"/>
  <c r="AL14" i="1"/>
  <c r="AH14" i="1"/>
  <c r="AG14" i="1"/>
  <c r="AF14" i="1"/>
  <c r="Y14" i="1"/>
  <c r="X14" i="1"/>
  <c r="T14" i="1"/>
  <c r="R14" i="1"/>
  <c r="IU18" i="1"/>
  <c r="HO18" i="1"/>
  <c r="GI18" i="1"/>
  <c r="FD18" i="1"/>
  <c r="DX18" i="1"/>
  <c r="CS18" i="1"/>
  <c r="BM18" i="1"/>
  <c r="AJ18" i="1"/>
  <c r="D18" i="1"/>
  <c r="IU9" i="1"/>
  <c r="HO9" i="1"/>
  <c r="GI9" i="1"/>
  <c r="FD9" i="1"/>
  <c r="FA9" i="1"/>
  <c r="EZ9" i="1"/>
  <c r="EX9" i="1"/>
  <c r="EW9" i="1"/>
  <c r="ET9" i="1"/>
  <c r="ES9" i="1"/>
  <c r="ER9" i="1"/>
  <c r="EQ9" i="1"/>
  <c r="EP9" i="1"/>
  <c r="EM9" i="1"/>
  <c r="EL9" i="1"/>
  <c r="EK9" i="1"/>
  <c r="EJ9" i="1"/>
  <c r="EI9" i="1"/>
  <c r="DW9" i="1"/>
  <c r="DV9" i="1"/>
  <c r="DU9" i="1"/>
  <c r="DT9" i="1"/>
  <c r="DQ9" i="1"/>
  <c r="DP9" i="1"/>
  <c r="DO9" i="1"/>
  <c r="DN9" i="1"/>
  <c r="DM9" i="1"/>
  <c r="DJ9" i="1"/>
  <c r="DI9" i="1"/>
  <c r="DH9" i="1"/>
  <c r="DG9" i="1"/>
  <c r="DF9" i="1"/>
  <c r="DC9" i="1"/>
  <c r="DB9" i="1"/>
  <c r="DA9" i="1"/>
  <c r="CZ9" i="1"/>
  <c r="CY9" i="1"/>
  <c r="CV9" i="1"/>
  <c r="CU9" i="1"/>
  <c r="CT9" i="1"/>
  <c r="CR9" i="1"/>
  <c r="CQ9" i="1"/>
  <c r="CN9" i="1"/>
  <c r="CM9" i="1"/>
  <c r="CL9" i="1"/>
  <c r="CK9" i="1"/>
  <c r="CJ9" i="1"/>
  <c r="CF9" i="1"/>
  <c r="CE9" i="1"/>
  <c r="CD9" i="1"/>
  <c r="CC9" i="1"/>
  <c r="BZ9" i="1"/>
  <c r="BY9" i="1"/>
  <c r="BX9" i="1"/>
  <c r="BW9" i="1"/>
  <c r="BV9" i="1"/>
  <c r="BS9" i="1"/>
  <c r="BR9" i="1"/>
  <c r="BQ9" i="1"/>
  <c r="BP9" i="1"/>
  <c r="BN9" i="1"/>
  <c r="BK9" i="1"/>
  <c r="BI9" i="1"/>
  <c r="BH9" i="1"/>
  <c r="BD9" i="1"/>
  <c r="BC9" i="1"/>
  <c r="BA9" i="1"/>
  <c r="AZ9" i="1"/>
  <c r="AW9" i="1"/>
  <c r="AT9" i="1"/>
  <c r="AS9" i="1"/>
  <c r="AP9" i="1"/>
  <c r="AO9" i="1"/>
  <c r="AN9" i="1"/>
  <c r="AM9" i="1"/>
  <c r="AL9" i="1"/>
  <c r="AH9" i="1"/>
  <c r="AG9" i="1"/>
  <c r="AF9" i="1"/>
  <c r="AE9" i="1"/>
  <c r="AD9" i="1"/>
  <c r="AA9" i="1"/>
  <c r="Z9" i="1"/>
  <c r="X9" i="1"/>
  <c r="W9" i="1"/>
  <c r="T9" i="1"/>
  <c r="S9" i="1"/>
  <c r="R9" i="1"/>
  <c r="Q9" i="1"/>
  <c r="P9" i="1"/>
  <c r="IU8" i="1"/>
  <c r="HO8" i="1"/>
  <c r="GI8" i="1"/>
  <c r="FD8" i="1"/>
  <c r="DX8" i="1"/>
  <c r="DC8" i="1"/>
  <c r="CS8" i="1" s="1"/>
  <c r="BM8" i="1"/>
  <c r="AJ8" i="1"/>
  <c r="D8" i="1"/>
  <c r="JX3" i="1"/>
  <c r="JO3" i="1"/>
  <c r="JC3" i="1"/>
  <c r="IQ3" i="1"/>
  <c r="HU3" i="1"/>
  <c r="HT3" i="1"/>
  <c r="HS3" i="1"/>
  <c r="HP3" i="1"/>
  <c r="HG3" i="1"/>
  <c r="HF3" i="1"/>
  <c r="HD3" i="1"/>
  <c r="GV3" i="1"/>
  <c r="GU3" i="1"/>
  <c r="GT3" i="1"/>
  <c r="GR3" i="1"/>
  <c r="GH3" i="1"/>
  <c r="GG3" i="1"/>
  <c r="GF3" i="1"/>
  <c r="GD3" i="1"/>
  <c r="GC3" i="1"/>
  <c r="FK3" i="1"/>
  <c r="FJ3" i="1"/>
  <c r="FI3" i="1"/>
  <c r="FH3" i="1"/>
  <c r="FC3" i="1"/>
  <c r="FB3" i="1"/>
  <c r="EY3" i="1"/>
  <c r="EV3" i="1"/>
  <c r="EU3" i="1"/>
  <c r="EO3" i="1"/>
  <c r="EN3" i="1"/>
  <c r="EH3" i="1"/>
  <c r="EG3" i="1"/>
  <c r="EF3" i="1"/>
  <c r="EE3" i="1"/>
  <c r="ED3" i="1"/>
  <c r="EC3" i="1"/>
  <c r="EB3" i="1"/>
  <c r="EA3" i="1"/>
  <c r="DZ3" i="1"/>
  <c r="DY3" i="1"/>
  <c r="C101" i="1" l="1"/>
  <c r="C50" i="1"/>
  <c r="HO57" i="1"/>
  <c r="IU57" i="1"/>
  <c r="C96" i="1"/>
  <c r="FD57" i="1"/>
  <c r="LF57" i="1"/>
  <c r="C103" i="1"/>
  <c r="GI57" i="1"/>
  <c r="MK26" i="1"/>
  <c r="HO61" i="1"/>
  <c r="C67" i="1"/>
  <c r="C102" i="1"/>
  <c r="C10" i="1"/>
  <c r="MK57" i="1"/>
  <c r="C54" i="1"/>
  <c r="DX92" i="1"/>
  <c r="FD26" i="1"/>
  <c r="C100" i="1"/>
  <c r="GI26" i="1"/>
  <c r="HO26" i="1"/>
  <c r="C85" i="1"/>
  <c r="C8" i="1"/>
  <c r="C39" i="1"/>
  <c r="C45" i="1"/>
  <c r="C59" i="1"/>
  <c r="C64" i="1"/>
  <c r="C86" i="1"/>
  <c r="C87" i="1"/>
  <c r="C70" i="1"/>
  <c r="C71" i="1"/>
  <c r="C76" i="1"/>
  <c r="FD92" i="1"/>
  <c r="C75" i="1"/>
  <c r="C104" i="1"/>
  <c r="C19" i="1"/>
  <c r="C20" i="1"/>
  <c r="C41" i="1"/>
  <c r="C78" i="1"/>
  <c r="C72" i="1"/>
  <c r="C88" i="1"/>
  <c r="C89" i="1"/>
  <c r="C94" i="1"/>
  <c r="C111" i="1"/>
  <c r="C112" i="1"/>
  <c r="JZ26" i="1"/>
  <c r="MK61" i="1"/>
  <c r="C52" i="1"/>
  <c r="C55" i="1"/>
  <c r="C98" i="1"/>
  <c r="C118" i="1"/>
  <c r="C15" i="1"/>
  <c r="C58" i="1"/>
  <c r="C57" i="1" s="1"/>
  <c r="C18" i="1"/>
  <c r="HO92" i="1"/>
  <c r="FD61" i="1"/>
  <c r="AJ92" i="1"/>
  <c r="AJ57" i="1"/>
  <c r="C46" i="1"/>
  <c r="LF92" i="1"/>
  <c r="LF34" i="1"/>
  <c r="JZ34" i="1"/>
  <c r="JZ61" i="1"/>
  <c r="IU92" i="1"/>
  <c r="C62" i="1"/>
  <c r="BM92" i="1"/>
  <c r="BM57" i="1"/>
  <c r="C84" i="1"/>
  <c r="C115" i="1"/>
  <c r="JZ92" i="1"/>
  <c r="C97" i="1"/>
  <c r="AJ61" i="1"/>
  <c r="C53" i="1"/>
  <c r="C77" i="1"/>
  <c r="CS92" i="1"/>
  <c r="C117" i="1"/>
  <c r="C69" i="1"/>
  <c r="CS57" i="1"/>
  <c r="C99" i="1"/>
  <c r="BM61" i="1"/>
  <c r="C81" i="1"/>
  <c r="IU26" i="1"/>
  <c r="C66" i="1"/>
  <c r="IU61" i="1"/>
  <c r="C63" i="1"/>
  <c r="C40" i="1"/>
  <c r="C95" i="1"/>
  <c r="C90" i="1"/>
  <c r="GI92" i="1"/>
  <c r="DX61" i="1"/>
  <c r="D92" i="1"/>
  <c r="C36" i="1"/>
  <c r="GI61" i="1"/>
  <c r="C80" i="1"/>
  <c r="C65" i="1"/>
  <c r="C44" i="1"/>
  <c r="JZ57" i="1"/>
  <c r="C51" i="1"/>
  <c r="C114" i="1"/>
  <c r="C11" i="1"/>
  <c r="C47" i="1"/>
  <c r="C68" i="1"/>
  <c r="C79" i="1"/>
  <c r="LF61" i="1"/>
  <c r="MK92" i="1"/>
  <c r="CS61" i="1"/>
  <c r="C93" i="1"/>
  <c r="D61" i="1"/>
  <c r="D57" i="1"/>
  <c r="FD49" i="1"/>
  <c r="DX49" i="1"/>
  <c r="MK49" i="1"/>
  <c r="GI49" i="1"/>
  <c r="D49" i="1"/>
  <c r="AJ49" i="1"/>
  <c r="HO49" i="1"/>
  <c r="BM49" i="1"/>
  <c r="LF49" i="1"/>
  <c r="CS49" i="1"/>
  <c r="JZ49" i="1"/>
  <c r="IU49" i="1"/>
  <c r="IU83" i="1"/>
  <c r="D83" i="1"/>
  <c r="JZ83" i="1"/>
  <c r="MK83" i="1"/>
  <c r="LF83" i="1"/>
  <c r="CS83" i="1"/>
  <c r="DX83" i="1"/>
  <c r="FD83" i="1"/>
  <c r="AJ83" i="1"/>
  <c r="BM83" i="1"/>
  <c r="HO83" i="1"/>
  <c r="D74" i="1"/>
  <c r="AJ74" i="1"/>
  <c r="GI83" i="1"/>
  <c r="BM74" i="1"/>
  <c r="CS74" i="1"/>
  <c r="FD74" i="1"/>
  <c r="GI74" i="1"/>
  <c r="DX74" i="1"/>
  <c r="HO74" i="1"/>
  <c r="IU74" i="1"/>
  <c r="LF74" i="1"/>
  <c r="JZ74" i="1"/>
  <c r="MK74" i="1"/>
  <c r="LF13" i="1"/>
  <c r="FD43" i="1"/>
  <c r="MK43" i="1"/>
  <c r="CS43" i="1"/>
  <c r="DX43" i="1"/>
  <c r="AJ43" i="1"/>
  <c r="BM43" i="1"/>
  <c r="IU43" i="1"/>
  <c r="JZ13" i="1"/>
  <c r="GI43" i="1"/>
  <c r="HO43" i="1"/>
  <c r="JZ43" i="1"/>
  <c r="D43" i="1"/>
  <c r="LF43" i="1"/>
  <c r="LF7" i="1"/>
  <c r="AJ34" i="1"/>
  <c r="BM34" i="1"/>
  <c r="D34" i="1"/>
  <c r="MK34" i="1"/>
  <c r="FD34" i="1"/>
  <c r="IU34" i="1"/>
  <c r="GI34" i="1"/>
  <c r="HO34" i="1"/>
  <c r="JZ7" i="1"/>
  <c r="LF17" i="1"/>
  <c r="FD7" i="1"/>
  <c r="FD13" i="1"/>
  <c r="GI13" i="1"/>
  <c r="GI7" i="1"/>
  <c r="HO7" i="1"/>
  <c r="IU13" i="1"/>
  <c r="MK7" i="1"/>
  <c r="IU7" i="1"/>
  <c r="FD17" i="1"/>
  <c r="HO17" i="1"/>
  <c r="HO13" i="1"/>
  <c r="GI17" i="1"/>
  <c r="IU17" i="1"/>
  <c r="MK17" i="1"/>
  <c r="JZ17" i="1"/>
  <c r="MK13" i="1"/>
  <c r="DX17" i="1"/>
  <c r="CS17" i="1"/>
  <c r="D17" i="1"/>
  <c r="AJ17" i="1"/>
  <c r="BM17" i="1"/>
  <c r="BM29" i="1"/>
  <c r="CS32" i="1"/>
  <c r="CS31" i="1" s="1"/>
  <c r="CS35" i="1"/>
  <c r="CS37" i="1"/>
  <c r="C37" i="1" s="1"/>
  <c r="CS38" i="1"/>
  <c r="C38" i="1" s="1"/>
  <c r="CS29" i="1"/>
  <c r="ET3" i="1"/>
  <c r="EI3" i="1"/>
  <c r="D28" i="1"/>
  <c r="EM3" i="1"/>
  <c r="D9" i="1"/>
  <c r="DX35" i="1"/>
  <c r="DX34" i="1" s="1"/>
  <c r="CS106" i="1"/>
  <c r="D106" i="1"/>
  <c r="EK3" i="1"/>
  <c r="BM28" i="1"/>
  <c r="D29" i="1"/>
  <c r="BM9" i="1"/>
  <c r="BM7" i="1" s="1"/>
  <c r="D14" i="1"/>
  <c r="BM106" i="1"/>
  <c r="AJ106" i="1"/>
  <c r="D27" i="1"/>
  <c r="ES3" i="1"/>
  <c r="DX29" i="1"/>
  <c r="DX28" i="1"/>
  <c r="DX26" i="1" s="1"/>
  <c r="DX106" i="1"/>
  <c r="AJ9" i="1"/>
  <c r="AJ7" i="1" s="1"/>
  <c r="AJ28" i="1"/>
  <c r="EZ3" i="1"/>
  <c r="BM14" i="1"/>
  <c r="BM13" i="1" s="1"/>
  <c r="CS14" i="1"/>
  <c r="CS13" i="1" s="1"/>
  <c r="ER3" i="1"/>
  <c r="EQ3" i="1"/>
  <c r="FA3" i="1"/>
  <c r="EX3" i="1"/>
  <c r="AJ14" i="1"/>
  <c r="AJ13" i="1" s="1"/>
  <c r="AJ29" i="1"/>
  <c r="EW3" i="1"/>
  <c r="DX14" i="1"/>
  <c r="DX13" i="1" s="1"/>
  <c r="CS28" i="1"/>
  <c r="CS9" i="1"/>
  <c r="CS7" i="1" s="1"/>
  <c r="EP3" i="1"/>
  <c r="BM32" i="1"/>
  <c r="BM31" i="1" s="1"/>
  <c r="EL3" i="1"/>
  <c r="DX9" i="1"/>
  <c r="DX7" i="1" s="1"/>
  <c r="EJ3" i="1"/>
  <c r="C61" i="1" l="1"/>
  <c r="AJ26" i="1"/>
  <c r="BM26" i="1"/>
  <c r="LF24" i="1"/>
  <c r="C35" i="1"/>
  <c r="HO24" i="1"/>
  <c r="JZ24" i="1"/>
  <c r="FD24" i="1"/>
  <c r="MK24" i="1"/>
  <c r="DX24" i="1"/>
  <c r="GI24" i="1"/>
  <c r="C92" i="1"/>
  <c r="IU24" i="1"/>
  <c r="AJ24" i="1"/>
  <c r="D13" i="1"/>
  <c r="C14" i="1"/>
  <c r="C13" i="1" s="1"/>
  <c r="C29" i="1"/>
  <c r="D7" i="1"/>
  <c r="C9" i="1"/>
  <c r="CS26" i="1"/>
  <c r="BM24" i="1"/>
  <c r="C106" i="1"/>
  <c r="D26" i="1"/>
  <c r="D24" i="1" s="1"/>
  <c r="C27" i="1"/>
  <c r="C28" i="1"/>
  <c r="C32" i="1"/>
  <c r="C31" i="1" s="1"/>
  <c r="C49" i="1"/>
  <c r="C83" i="1"/>
  <c r="C74" i="1"/>
  <c r="C43" i="1"/>
  <c r="LF6" i="1"/>
  <c r="JZ6" i="1"/>
  <c r="CS34" i="1"/>
  <c r="FD6" i="1"/>
  <c r="IU6" i="1"/>
  <c r="GI6" i="1"/>
  <c r="MK6" i="1"/>
  <c r="HO6" i="1"/>
  <c r="DX6" i="1"/>
  <c r="BM6" i="1"/>
  <c r="C17" i="1"/>
  <c r="AJ6" i="1"/>
  <c r="CS6" i="1"/>
  <c r="C34" i="1"/>
  <c r="C7" i="1"/>
  <c r="D6" i="1" l="1"/>
  <c r="MK3" i="1"/>
  <c r="CS24" i="1"/>
  <c r="HO3" i="1"/>
  <c r="GI3" i="1"/>
  <c r="IU3" i="1"/>
  <c r="JZ3" i="1"/>
  <c r="FD3" i="1"/>
  <c r="LF3" i="1"/>
  <c r="C6" i="1"/>
  <c r="C26" i="1"/>
  <c r="C24" i="1" s="1"/>
</calcChain>
</file>

<file path=xl/sharedStrings.xml><?xml version="1.0" encoding="utf-8"?>
<sst xmlns="http://schemas.openxmlformats.org/spreadsheetml/2006/main" count="116" uniqueCount="109">
  <si>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</si>
  <si>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</si>
  <si>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</si>
  <si>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</si>
  <si>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</si>
  <si>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</si>
  <si>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</si>
  <si>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</si>
  <si>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</si>
  <si>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мбанк комм</t>
  </si>
  <si>
    <t>опт комм</t>
  </si>
  <si>
    <t>услуги банка (-)</t>
  </si>
  <si>
    <t>единый налог</t>
  </si>
  <si>
    <t>Фот</t>
  </si>
  <si>
    <t>Нэск (электричество)</t>
  </si>
  <si>
    <t>Бадалов Т.Т (вода)</t>
  </si>
  <si>
    <t>Эсенбаев Нурсултан Эсенбаевич (прочие)</t>
  </si>
  <si>
    <t>хэдхантер</t>
  </si>
  <si>
    <t>яндекс</t>
  </si>
  <si>
    <t>интернет</t>
  </si>
  <si>
    <t>лист.кг</t>
  </si>
  <si>
    <t>ККМ онлайн</t>
  </si>
  <si>
    <t>Архитектура</t>
  </si>
  <si>
    <t>РМ плюс</t>
  </si>
  <si>
    <t>?</t>
  </si>
  <si>
    <t>Инворк</t>
  </si>
  <si>
    <t>концтовары</t>
  </si>
  <si>
    <t>Бумага А4</t>
  </si>
  <si>
    <t>ДАС Групп</t>
  </si>
  <si>
    <t>ИП Рахманов Э.К</t>
  </si>
  <si>
    <t>ИП Лопарев</t>
  </si>
  <si>
    <t>Сапарбекова А.</t>
  </si>
  <si>
    <t>Гудуу (лицензии)</t>
  </si>
  <si>
    <t>Brave (Брэйв)</t>
  </si>
  <si>
    <t>дизайнер</t>
  </si>
  <si>
    <t>дол (global)</t>
  </si>
  <si>
    <t>тенге (мир инструментов)</t>
  </si>
  <si>
    <t>Бонусы</t>
  </si>
  <si>
    <t>Фот нал</t>
  </si>
  <si>
    <t xml:space="preserve">Прочие расходы для сотрудников </t>
  </si>
  <si>
    <t>нотариус</t>
  </si>
  <si>
    <t>Сот связь (вымпел)</t>
  </si>
  <si>
    <t>транспортные</t>
  </si>
  <si>
    <t>Таможенные расходы</t>
  </si>
  <si>
    <t>услуги (Грузчики и прочие)</t>
  </si>
  <si>
    <t>Ремонт и доработки БВ (двери)</t>
  </si>
  <si>
    <t>Закуп оборудования БВ</t>
  </si>
  <si>
    <t>ГСМ (генератор)</t>
  </si>
  <si>
    <t>штрафы</t>
  </si>
  <si>
    <t>Электричество БВ</t>
  </si>
  <si>
    <t>Приобретение ОС</t>
  </si>
  <si>
    <t>Подотчет</t>
  </si>
  <si>
    <t>Прочие расходы</t>
  </si>
  <si>
    <t>Недосдача кассира</t>
  </si>
  <si>
    <t>излишки кассира</t>
  </si>
  <si>
    <t>инвестиции сом</t>
  </si>
  <si>
    <t>инвестиции дол</t>
  </si>
  <si>
    <t>ОКТЯБРЬ</t>
  </si>
  <si>
    <t>Айсулу</t>
  </si>
  <si>
    <t>Рыспек</t>
  </si>
  <si>
    <t>Аскар</t>
  </si>
  <si>
    <t>Сайра</t>
  </si>
  <si>
    <t>НОЯБРЬ</t>
  </si>
  <si>
    <t>Касса Мбанк</t>
  </si>
  <si>
    <t>Касса Оптима</t>
  </si>
  <si>
    <t>Субаренда банк</t>
  </si>
  <si>
    <t>B2B Банк</t>
  </si>
  <si>
    <t>Касса Наличные Кокжар</t>
  </si>
  <si>
    <t>Касса Наличные Беловодск</t>
  </si>
  <si>
    <t>Субаренда наличные</t>
  </si>
  <si>
    <t>B2B Наличные</t>
  </si>
  <si>
    <t>Макулатура (прочие приходники)</t>
  </si>
  <si>
    <t xml:space="preserve"> </t>
  </si>
  <si>
    <t>СУММА КАССА</t>
  </si>
  <si>
    <t>СУММА B2B</t>
  </si>
  <si>
    <t>ПРОЧИЙ ДОХОД</t>
  </si>
  <si>
    <t>СУММА ДОХОД</t>
  </si>
  <si>
    <t>СУММА РАСХОДЫ</t>
  </si>
  <si>
    <t>БАНК РАСХОДЫ</t>
  </si>
  <si>
    <t>НАЛОГИ</t>
  </si>
  <si>
    <t>ФОТ</t>
  </si>
  <si>
    <t>Соц  фонд</t>
  </si>
  <si>
    <t>Подоходный налог</t>
  </si>
  <si>
    <t>Гос Накопительный Пенсионый Фонд (ГНПФ)</t>
  </si>
  <si>
    <t>АРЕНДА И КОММУНАЛЬНЫЕ</t>
  </si>
  <si>
    <t>Тазалык</t>
  </si>
  <si>
    <t>РАСХОДНИКИ МАРКЕТА</t>
  </si>
  <si>
    <t>УСЛУГИ И ПОДПИСКИ</t>
  </si>
  <si>
    <t>Вода диспенсер</t>
  </si>
  <si>
    <t>Чек лента</t>
  </si>
  <si>
    <t>интернет беловодск</t>
  </si>
  <si>
    <t>ИМПОРТ</t>
  </si>
  <si>
    <t>РАЗОВЫЕ ДОРАБОТКИ И ВЛОЖЕНИЯ</t>
  </si>
  <si>
    <t>Лист.кг  доработки</t>
  </si>
  <si>
    <t>ИП Автандиль</t>
  </si>
  <si>
    <t>ПРОЧИЕ РАСХОДЫ МАРКЕТА</t>
  </si>
  <si>
    <t>Командировочные</t>
  </si>
  <si>
    <t>Декларация</t>
  </si>
  <si>
    <t>Маркетинг/Таргет</t>
  </si>
  <si>
    <t>ОсОО Юрас (печать)</t>
  </si>
  <si>
    <t>Альфа телеком (сот связь)</t>
  </si>
  <si>
    <t>Ли групп (Логистика)</t>
  </si>
  <si>
    <t>Нью-Йорк Лингва (Код ТНВЭД)</t>
  </si>
  <si>
    <t>КобЭх (импорт)</t>
  </si>
  <si>
    <t>Услуги (брокер)</t>
  </si>
  <si>
    <t>НДС на импорт</t>
  </si>
  <si>
    <t>ПРОЧИЕ НЕ ОПЕРАЦИОННЫЕ РАСХОДЫ</t>
  </si>
  <si>
    <t>вывод</t>
  </si>
  <si>
    <t>Оплаты поставщикам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</si>
</sst>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8"/>
      <name val="Microsoft Sans Serif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2" fillId="0" borderId="0" xfId="0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43" fontId="3" fillId="2" borderId="0" xfId="1" applyFont="1" applyFill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43" fontId="3" fillId="4" borderId="0" xfId="0" applyNumberFormat="1" applyFont="1" applyFill="1" applyBorder="1" applyAlignment="1">
      <alignment horizontal="center"/>
    </xf>
    <xf numFmtId="43" fontId="3" fillId="4" borderId="0" xfId="1" applyFont="1" applyFill="1" applyBorder="1" applyAlignment="1">
      <alignment horizontal="center"/>
    </xf>
    <xf numFmtId="43" fontId="3" fillId="5" borderId="0" xfId="1" applyFont="1" applyFill="1" applyBorder="1" applyAlignment="1">
      <alignment horizontal="center"/>
    </xf>
    <xf numFmtId="43" fontId="2" fillId="6" borderId="0" xfId="1" applyFont="1" applyFill="1" applyBorder="1" applyAlignment="1">
      <alignment horizontal="center" vertical="center" wrapText="1"/>
    </xf>
    <xf numFmtId="43" fontId="3" fillId="7" borderId="0" xfId="0" applyNumberFormat="1" applyFont="1" applyFill="1" applyBorder="1" applyAlignment="1">
      <alignment horizontal="center"/>
    </xf>
    <xf numFmtId="43" fontId="2" fillId="2" borderId="0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" fontId="3" fillId="0" borderId="0" xfId="0" applyNumberFormat="1" applyFont="1" applyBorder="1" applyAlignment="1">
      <alignment horizontal="center"/>
    </xf>
    <xf numFmtId="0" fontId="3" fillId="5" borderId="0" xfId="0" applyFont="1" applyFill="1" applyBorder="1" applyAlignment="1"/>
    <xf numFmtId="43" fontId="2" fillId="5" borderId="0" xfId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43" fontId="3" fillId="4" borderId="0" xfId="1" applyFont="1" applyFill="1" applyBorder="1" applyAlignment="1">
      <alignment horizontal="center" vertical="center" wrapText="1"/>
    </xf>
    <xf numFmtId="43" fontId="2" fillId="4" borderId="0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center"/>
    </xf>
    <xf numFmtId="43" fontId="2" fillId="0" borderId="0" xfId="1" applyFont="1" applyBorder="1" applyAlignment="1">
      <alignment horizontal="right" vertical="center" wrapText="1"/>
    </xf>
    <xf numFmtId="0" fontId="2" fillId="4" borderId="0" xfId="0" applyFont="1" applyFill="1" applyBorder="1" applyAlignment="1">
      <alignment horizontal="center"/>
    </xf>
    <xf numFmtId="43" fontId="3" fillId="6" borderId="0" xfId="1" applyFont="1" applyFill="1" applyBorder="1" applyAlignment="1">
      <alignment vertical="center" wrapText="1"/>
    </xf>
    <xf numFmtId="0" fontId="3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43" fontId="3" fillId="0" borderId="0" xfId="1" applyFont="1" applyBorder="1" applyAlignment="1">
      <alignment horizontal="right" vertical="center" wrapText="1"/>
    </xf>
    <xf numFmtId="0" fontId="2" fillId="0" borderId="0" xfId="0" applyFont="1" applyBorder="1"/>
    <xf numFmtId="4" fontId="5" fillId="3" borderId="0" xfId="2" applyNumberFormat="1" applyFont="1" applyFill="1" applyBorder="1" applyAlignment="1">
      <alignment horizontal="right" vertical="top"/>
    </xf>
    <xf numFmtId="43" fontId="3" fillId="6" borderId="0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_Призодники" xfId="2" xr:uid="{8AE7CAD7-0A8A-4236-8E55-5D70EBDCC80B}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E96E-3790-4E15-8647-FC3C2E919304}">
  <dimension ref="A1:NR118"/>
  <sheetViews>
    <sheetView tabSelected="1" workbookViewId="0">
      <pane xSplit="3" ySplit="3" topLeftCell="D87" activePane="bottomRight" state="frozen"/>
      <selection pane="topRight" activeCell="D1" sqref="D1"/>
      <selection pane="bottomLeft" activeCell="A4" sqref="A4"/>
      <selection pane="bottomRight" activeCell="JZ100" sqref="JZ100"/>
    </sheetView>
  </sheetViews>
  <sheetFormatPr defaultRowHeight="11.25" outlineLevelCol="1" x14ac:dyDescent="0.2"/>
  <cols>
    <col min="1" max="1" width="11.5703125" style="1" bestFit="1" customWidth="1"/>
    <col min="2" max="2" width="40.140625" style="15" customWidth="1"/>
    <col min="3" max="3" width="11.85546875" style="6" bestFit="1" customWidth="1"/>
    <col min="4" max="4" width="11" style="6" bestFit="1" customWidth="1"/>
    <col min="5" max="5" width="5.85546875" style="2" hidden="1" customWidth="1" outlineLevel="1"/>
    <col min="6" max="7" width="9" style="2" hidden="1" customWidth="1" outlineLevel="1"/>
    <col min="8" max="8" width="9.85546875" style="2" hidden="1" customWidth="1" outlineLevel="1"/>
    <col min="9" max="9" width="9" style="2" hidden="1" customWidth="1" outlineLevel="1"/>
    <col min="10" max="10" width="11" style="2" hidden="1" customWidth="1" outlineLevel="1"/>
    <col min="11" max="11" width="9" style="2" hidden="1" customWidth="1" outlineLevel="1"/>
    <col min="12" max="12" width="11" style="2" hidden="1" customWidth="1" outlineLevel="1"/>
    <col min="13" max="15" width="9" style="2" hidden="1" customWidth="1" outlineLevel="1"/>
    <col min="16" max="17" width="9.85546875" style="2" hidden="1" customWidth="1" outlineLevel="1"/>
    <col min="18" max="18" width="9" style="2" hidden="1" customWidth="1" outlineLevel="1"/>
    <col min="19" max="19" width="9.85546875" style="2" hidden="1" customWidth="1" outlineLevel="1"/>
    <col min="20" max="20" width="11.42578125" style="2" hidden="1" customWidth="1" outlineLevel="1"/>
    <col min="21" max="22" width="9" style="2" hidden="1" customWidth="1" outlineLevel="1"/>
    <col min="23" max="23" width="9.85546875" style="2" hidden="1" customWidth="1" outlineLevel="1"/>
    <col min="24" max="25" width="9" style="2" hidden="1" customWidth="1" outlineLevel="1"/>
    <col min="26" max="26" width="9.85546875" style="2" hidden="1" customWidth="1" outlineLevel="1"/>
    <col min="27" max="32" width="9" style="2" hidden="1" customWidth="1" outlineLevel="1"/>
    <col min="33" max="33" width="10" style="2" hidden="1" customWidth="1" outlineLevel="1"/>
    <col min="34" max="34" width="9.85546875" style="2" hidden="1" customWidth="1" outlineLevel="1"/>
    <col min="35" max="35" width="9" style="2" hidden="1" customWidth="1" outlineLevel="1"/>
    <col min="36" max="36" width="11.28515625" style="6" bestFit="1" customWidth="1" collapsed="1"/>
    <col min="37" max="37" width="9.85546875" style="2" hidden="1" customWidth="1" outlineLevel="1"/>
    <col min="38" max="38" width="11" style="2" hidden="1" customWidth="1" outlineLevel="1"/>
    <col min="39" max="40" width="9" style="2" hidden="1" customWidth="1" outlineLevel="1"/>
    <col min="41" max="42" width="9.85546875" style="2" hidden="1" customWidth="1" outlineLevel="1"/>
    <col min="43" max="43" width="8.140625" style="2" hidden="1" customWidth="1" outlineLevel="1"/>
    <col min="44" max="44" width="9" style="2" hidden="1" customWidth="1" outlineLevel="1"/>
    <col min="45" max="47" width="9.85546875" style="2" hidden="1" customWidth="1" outlineLevel="1"/>
    <col min="48" max="48" width="9" style="2" hidden="1" customWidth="1" outlineLevel="1"/>
    <col min="49" max="49" width="9.85546875" style="2" hidden="1" customWidth="1" outlineLevel="1"/>
    <col min="50" max="52" width="9" style="2" hidden="1" customWidth="1" outlineLevel="1"/>
    <col min="53" max="53" width="9.85546875" style="2" hidden="1" customWidth="1" outlineLevel="1"/>
    <col min="54" max="54" width="10" style="2" hidden="1" customWidth="1" outlineLevel="1"/>
    <col min="55" max="55" width="9.85546875" style="2" hidden="1" customWidth="1" outlineLevel="1"/>
    <col min="56" max="58" width="9" style="2" hidden="1" customWidth="1" outlineLevel="1"/>
    <col min="59" max="62" width="9.85546875" style="2" hidden="1" customWidth="1" outlineLevel="1"/>
    <col min="63" max="64" width="9" style="2" hidden="1" customWidth="1" outlineLevel="1"/>
    <col min="65" max="65" width="11.28515625" style="6" bestFit="1" customWidth="1" collapsed="1"/>
    <col min="66" max="66" width="10" style="2" hidden="1" customWidth="1" outlineLevel="1"/>
    <col min="67" max="67" width="9.42578125" style="2" hidden="1" customWidth="1" outlineLevel="1"/>
    <col min="68" max="68" width="9.140625" style="2" hidden="1" customWidth="1" outlineLevel="1"/>
    <col min="69" max="71" width="10" style="2" hidden="1" customWidth="1" outlineLevel="1"/>
    <col min="72" max="73" width="9.140625" style="2" hidden="1" customWidth="1" outlineLevel="1"/>
    <col min="74" max="74" width="10" style="2" hidden="1" customWidth="1" outlineLevel="1"/>
    <col min="75" max="75" width="9.140625" style="2" hidden="1" customWidth="1" outlineLevel="1"/>
    <col min="76" max="77" width="10" style="2" hidden="1" customWidth="1" outlineLevel="1"/>
    <col min="78" max="78" width="9.42578125" style="2" hidden="1" customWidth="1" outlineLevel="1"/>
    <col min="79" max="80" width="9.140625" style="2" hidden="1" customWidth="1" outlineLevel="1"/>
    <col min="81" max="81" width="10" style="2" hidden="1" customWidth="1" outlineLevel="1"/>
    <col min="82" max="84" width="10" style="1" hidden="1" customWidth="1" outlineLevel="1"/>
    <col min="85" max="86" width="9.140625" style="1" hidden="1" customWidth="1" outlineLevel="1"/>
    <col min="87" max="92" width="10" style="1" hidden="1" customWidth="1" outlineLevel="1"/>
    <col min="93" max="94" width="9.42578125" style="1" hidden="1" customWidth="1" outlineLevel="1"/>
    <col min="95" max="95" width="10" style="1" hidden="1" customWidth="1" outlineLevel="1"/>
    <col min="96" max="96" width="11.28515625" style="1" hidden="1" customWidth="1" outlineLevel="1"/>
    <col min="97" max="97" width="11" style="6" bestFit="1" customWidth="1" collapsed="1"/>
    <col min="98" max="100" width="10" style="1" hidden="1" customWidth="1" outlineLevel="1"/>
    <col min="101" max="101" width="9.140625" style="1" hidden="1" customWidth="1" outlineLevel="1"/>
    <col min="102" max="102" width="11" style="1" hidden="1" customWidth="1" outlineLevel="1"/>
    <col min="103" max="103" width="10" style="1" hidden="1" customWidth="1" outlineLevel="1"/>
    <col min="104" max="104" width="9.140625" style="1" hidden="1" customWidth="1" outlineLevel="1"/>
    <col min="105" max="107" width="10" style="1" hidden="1" customWidth="1" outlineLevel="1"/>
    <col min="108" max="109" width="9.140625" style="1" hidden="1" customWidth="1" outlineLevel="1"/>
    <col min="110" max="111" width="10" style="1" hidden="1" customWidth="1" outlineLevel="1"/>
    <col min="112" max="112" width="9.140625" style="1" hidden="1" customWidth="1" outlineLevel="1"/>
    <col min="113" max="114" width="10" style="1" hidden="1" customWidth="1" outlineLevel="1"/>
    <col min="115" max="116" width="9.140625" style="1" hidden="1" customWidth="1" outlineLevel="1"/>
    <col min="117" max="118" width="10" style="1" hidden="1" customWidth="1" outlineLevel="1"/>
    <col min="119" max="119" width="9.140625" style="1" hidden="1" customWidth="1" outlineLevel="1"/>
    <col min="120" max="121" width="10" style="1" hidden="1" customWidth="1" outlineLevel="1"/>
    <col min="122" max="123" width="9.140625" style="1" hidden="1" customWidth="1" outlineLevel="1"/>
    <col min="124" max="125" width="10" style="1" hidden="1" customWidth="1" outlineLevel="1"/>
    <col min="126" max="126" width="9.140625" style="1" hidden="1" customWidth="1" outlineLevel="1"/>
    <col min="127" max="127" width="10" style="1" hidden="1" customWidth="1" outlineLevel="1"/>
    <col min="128" max="128" width="11.28515625" style="6" bestFit="1" customWidth="1" collapsed="1"/>
    <col min="129" max="131" width="9.140625" style="1" hidden="1" customWidth="1" outlineLevel="1"/>
    <col min="132" max="132" width="10" style="1" hidden="1" customWidth="1" outlineLevel="1"/>
    <col min="133" max="136" width="9.140625" style="1" hidden="1" customWidth="1" outlineLevel="1"/>
    <col min="137" max="137" width="8.28515625" style="1" hidden="1" customWidth="1" outlineLevel="1"/>
    <col min="138" max="138" width="10" style="1" hidden="1" customWidth="1" outlineLevel="1"/>
    <col min="139" max="139" width="11.28515625" style="1" hidden="1" customWidth="1" outlineLevel="1"/>
    <col min="140" max="143" width="10" style="1" hidden="1" customWidth="1" outlineLevel="1"/>
    <col min="144" max="145" width="9.140625" style="1" hidden="1" customWidth="1" outlineLevel="1"/>
    <col min="146" max="150" width="10" style="1" hidden="1" customWidth="1" outlineLevel="1"/>
    <col min="151" max="152" width="9.140625" style="1" hidden="1" customWidth="1" outlineLevel="1"/>
    <col min="153" max="153" width="10" style="1" hidden="1" customWidth="1" outlineLevel="1"/>
    <col min="154" max="155" width="9.140625" style="1" hidden="1" customWidth="1" outlineLevel="1"/>
    <col min="156" max="156" width="11.28515625" style="1" hidden="1" customWidth="1" outlineLevel="1"/>
    <col min="157" max="157" width="10" style="1" hidden="1" customWidth="1" outlineLevel="1"/>
    <col min="158" max="158" width="9.140625" style="1" hidden="1" customWidth="1" outlineLevel="1"/>
    <col min="159" max="159" width="10" style="1" hidden="1" customWidth="1" outlineLevel="1"/>
    <col min="160" max="160" width="6" style="6" bestFit="1" customWidth="1" collapsed="1"/>
    <col min="161" max="190" width="6.5703125" style="1" hidden="1" customWidth="1" outlineLevel="1"/>
    <col min="191" max="191" width="6" style="6" bestFit="1" customWidth="1" collapsed="1"/>
    <col min="192" max="222" width="6.42578125" style="1" hidden="1" customWidth="1" outlineLevel="1"/>
    <col min="223" max="223" width="6.5703125" style="6" bestFit="1" customWidth="1" collapsed="1"/>
    <col min="224" max="254" width="5.5703125" style="1" hidden="1" customWidth="1" outlineLevel="1"/>
    <col min="255" max="255" width="8.7109375" style="6" bestFit="1" customWidth="1" collapsed="1"/>
    <col min="256" max="264" width="5.85546875" style="1" hidden="1" customWidth="1" outlineLevel="1"/>
    <col min="265" max="265" width="5.85546875" style="30" hidden="1" customWidth="1" outlineLevel="1"/>
    <col min="266" max="285" width="5.85546875" style="1" hidden="1" customWidth="1" outlineLevel="1"/>
    <col min="286" max="286" width="6.5703125" style="6" bestFit="1" customWidth="1" collapsed="1"/>
    <col min="287" max="317" width="9.140625" style="1" hidden="1" customWidth="1" outlineLevel="1"/>
    <col min="318" max="318" width="8.7109375" style="6" bestFit="1" customWidth="1" collapsed="1"/>
    <col min="319" max="348" width="0" style="1" hidden="1" customWidth="1" outlineLevel="1"/>
    <col min="349" max="349" width="6.5703125" style="6" bestFit="1" customWidth="1" collapsed="1"/>
    <col min="350" max="380" width="0" style="1" hidden="1" customWidth="1" outlineLevel="1"/>
    <col min="381" max="381" width="9.140625" style="1" collapsed="1"/>
    <col min="382" max="16384" width="9.140625" style="1"/>
  </cols>
  <sheetData>
    <row r="1" spans="1:380" x14ac:dyDescent="0.2"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4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S1" s="4"/>
      <c r="DX1" s="4"/>
      <c r="FD1" s="4"/>
      <c r="GI1" s="4"/>
      <c r="HO1" s="4"/>
      <c r="IU1" s="4"/>
      <c r="JE1" s="1"/>
      <c r="JZ1" s="4"/>
      <c r="LF1" s="4"/>
      <c r="MK1" s="4"/>
    </row>
    <row r="2" spans="1:380" s="4" customFormat="1" x14ac:dyDescent="0.2">
      <c r="B2" s="16"/>
      <c r="C2" s="4">
        <v>2026</v>
      </c>
      <c r="D2" s="4" t="s">
        <v>0</v>
      </c>
      <c r="E2" s="17">
        <v>46023</v>
      </c>
      <c r="F2" s="17">
        <v>46024</v>
      </c>
      <c r="G2" s="17">
        <v>46025</v>
      </c>
      <c r="H2" s="17">
        <v>46026</v>
      </c>
      <c r="I2" s="17">
        <v>46027</v>
      </c>
      <c r="J2" s="17">
        <v>46028</v>
      </c>
      <c r="K2" s="17">
        <v>46029</v>
      </c>
      <c r="L2" s="17">
        <v>46030</v>
      </c>
      <c r="M2" s="17">
        <v>46031</v>
      </c>
      <c r="N2" s="17">
        <v>46032</v>
      </c>
      <c r="O2" s="17">
        <v>46033</v>
      </c>
      <c r="P2" s="17">
        <v>46034</v>
      </c>
      <c r="Q2" s="17">
        <v>46035</v>
      </c>
      <c r="R2" s="17">
        <v>46036</v>
      </c>
      <c r="S2" s="17">
        <v>46037</v>
      </c>
      <c r="T2" s="17">
        <v>46038</v>
      </c>
      <c r="U2" s="17">
        <v>46039</v>
      </c>
      <c r="V2" s="17">
        <v>46040</v>
      </c>
      <c r="W2" s="17">
        <v>46041</v>
      </c>
      <c r="X2" s="17">
        <v>46042</v>
      </c>
      <c r="Y2" s="17">
        <v>46043</v>
      </c>
      <c r="Z2" s="17">
        <v>46044</v>
      </c>
      <c r="AA2" s="17">
        <v>46045</v>
      </c>
      <c r="AB2" s="17">
        <v>46046</v>
      </c>
      <c r="AC2" s="17">
        <v>46047</v>
      </c>
      <c r="AD2" s="17">
        <v>46048</v>
      </c>
      <c r="AE2" s="17">
        <v>46049</v>
      </c>
      <c r="AF2" s="17">
        <v>46050</v>
      </c>
      <c r="AG2" s="17">
        <v>46051</v>
      </c>
      <c r="AH2" s="17">
        <v>46052</v>
      </c>
      <c r="AI2" s="17">
        <v>46053</v>
      </c>
      <c r="AJ2" s="17" t="s">
        <v>1</v>
      </c>
      <c r="AK2" s="17">
        <v>46054</v>
      </c>
      <c r="AL2" s="17">
        <v>46055</v>
      </c>
      <c r="AM2" s="17">
        <v>46056</v>
      </c>
      <c r="AN2" s="17">
        <v>46057</v>
      </c>
      <c r="AO2" s="17">
        <v>46058</v>
      </c>
      <c r="AP2" s="17">
        <v>46059</v>
      </c>
      <c r="AQ2" s="17">
        <v>46060</v>
      </c>
      <c r="AR2" s="17">
        <v>46061</v>
      </c>
      <c r="AS2" s="17">
        <v>46062</v>
      </c>
      <c r="AT2" s="17">
        <v>46063</v>
      </c>
      <c r="AU2" s="17">
        <v>46064</v>
      </c>
      <c r="AV2" s="17">
        <v>46065</v>
      </c>
      <c r="AW2" s="17">
        <v>46066</v>
      </c>
      <c r="AX2" s="17">
        <v>46067</v>
      </c>
      <c r="AY2" s="17">
        <v>46068</v>
      </c>
      <c r="AZ2" s="17">
        <v>46069</v>
      </c>
      <c r="BA2" s="17">
        <v>46070</v>
      </c>
      <c r="BB2" s="17">
        <v>46071</v>
      </c>
      <c r="BC2" s="17">
        <v>46072</v>
      </c>
      <c r="BD2" s="17">
        <v>46073</v>
      </c>
      <c r="BE2" s="17">
        <v>46074</v>
      </c>
      <c r="BF2" s="17">
        <v>46075</v>
      </c>
      <c r="BG2" s="17">
        <v>46076</v>
      </c>
      <c r="BH2" s="17">
        <v>46077</v>
      </c>
      <c r="BI2" s="17">
        <v>46078</v>
      </c>
      <c r="BJ2" s="17">
        <v>46079</v>
      </c>
      <c r="BK2" s="17">
        <v>46080</v>
      </c>
      <c r="BL2" s="17">
        <v>46081</v>
      </c>
      <c r="BM2" s="17" t="s">
        <v>2</v>
      </c>
      <c r="BN2" s="17">
        <v>46082</v>
      </c>
      <c r="BO2" s="17">
        <v>46083</v>
      </c>
      <c r="BP2" s="17">
        <v>46084</v>
      </c>
      <c r="BQ2" s="17">
        <v>46085</v>
      </c>
      <c r="BR2" s="17">
        <v>46086</v>
      </c>
      <c r="BS2" s="17">
        <v>46087</v>
      </c>
      <c r="BT2" s="17">
        <v>46088</v>
      </c>
      <c r="BU2" s="17">
        <v>46089</v>
      </c>
      <c r="BV2" s="17">
        <v>46090</v>
      </c>
      <c r="BW2" s="17">
        <v>46091</v>
      </c>
      <c r="BX2" s="17">
        <v>46092</v>
      </c>
      <c r="BY2" s="17">
        <v>46093</v>
      </c>
      <c r="BZ2" s="17">
        <v>46094</v>
      </c>
      <c r="CA2" s="17">
        <v>46095</v>
      </c>
      <c r="CB2" s="17">
        <v>46096</v>
      </c>
      <c r="CC2" s="17">
        <v>46097</v>
      </c>
      <c r="CD2" s="17">
        <v>46098</v>
      </c>
      <c r="CE2" s="17">
        <v>46099</v>
      </c>
      <c r="CF2" s="17">
        <v>46100</v>
      </c>
      <c r="CG2" s="17">
        <v>46101</v>
      </c>
      <c r="CH2" s="17">
        <v>46102</v>
      </c>
      <c r="CI2" s="17">
        <v>46103</v>
      </c>
      <c r="CJ2" s="17">
        <v>46104</v>
      </c>
      <c r="CK2" s="17">
        <v>46105</v>
      </c>
      <c r="CL2" s="17">
        <v>46106</v>
      </c>
      <c r="CM2" s="17">
        <v>46107</v>
      </c>
      <c r="CN2" s="17">
        <v>46108</v>
      </c>
      <c r="CO2" s="17">
        <v>46109</v>
      </c>
      <c r="CP2" s="17">
        <v>46110</v>
      </c>
      <c r="CQ2" s="17">
        <v>46111</v>
      </c>
      <c r="CR2" s="17">
        <v>46112</v>
      </c>
      <c r="CS2" s="17" t="s">
        <v>3</v>
      </c>
      <c r="CT2" s="17">
        <v>46113</v>
      </c>
      <c r="CU2" s="17">
        <v>46114</v>
      </c>
      <c r="CV2" s="17">
        <v>46115</v>
      </c>
      <c r="CW2" s="17">
        <v>46116</v>
      </c>
      <c r="CX2" s="17">
        <v>46117</v>
      </c>
      <c r="CY2" s="17">
        <v>46118</v>
      </c>
      <c r="CZ2" s="17">
        <v>46119</v>
      </c>
      <c r="DA2" s="17">
        <v>46120</v>
      </c>
      <c r="DB2" s="17">
        <v>46121</v>
      </c>
      <c r="DC2" s="17">
        <v>46122</v>
      </c>
      <c r="DD2" s="17">
        <v>46123</v>
      </c>
      <c r="DE2" s="17">
        <v>46124</v>
      </c>
      <c r="DF2" s="17">
        <v>46125</v>
      </c>
      <c r="DG2" s="17">
        <v>46126</v>
      </c>
      <c r="DH2" s="17">
        <v>46127</v>
      </c>
      <c r="DI2" s="17">
        <v>46128</v>
      </c>
      <c r="DJ2" s="17">
        <v>46129</v>
      </c>
      <c r="DK2" s="17">
        <v>46130</v>
      </c>
      <c r="DL2" s="17">
        <v>46131</v>
      </c>
      <c r="DM2" s="17">
        <v>46132</v>
      </c>
      <c r="DN2" s="17">
        <v>46133</v>
      </c>
      <c r="DO2" s="17">
        <v>46134</v>
      </c>
      <c r="DP2" s="17">
        <v>46135</v>
      </c>
      <c r="DQ2" s="17">
        <v>46136</v>
      </c>
      <c r="DR2" s="17">
        <v>46137</v>
      </c>
      <c r="DS2" s="17">
        <v>46138</v>
      </c>
      <c r="DT2" s="17">
        <v>46139</v>
      </c>
      <c r="DU2" s="17">
        <v>46140</v>
      </c>
      <c r="DV2" s="17">
        <v>46141</v>
      </c>
      <c r="DW2" s="17">
        <v>46142</v>
      </c>
      <c r="DX2" s="17" t="s">
        <v>4</v>
      </c>
      <c r="DY2" s="17">
        <v>46143</v>
      </c>
      <c r="DZ2" s="17">
        <v>46144</v>
      </c>
      <c r="EA2" s="17">
        <v>46145</v>
      </c>
      <c r="EB2" s="17">
        <v>46146</v>
      </c>
      <c r="EC2" s="17">
        <v>46147</v>
      </c>
      <c r="ED2" s="17">
        <v>46148</v>
      </c>
      <c r="EE2" s="17">
        <v>46149</v>
      </c>
      <c r="EF2" s="17">
        <v>46150</v>
      </c>
      <c r="EG2" s="17">
        <v>46151</v>
      </c>
      <c r="EH2" s="17">
        <v>46152</v>
      </c>
      <c r="EI2" s="17">
        <v>46153</v>
      </c>
      <c r="EJ2" s="17">
        <v>46154</v>
      </c>
      <c r="EK2" s="17">
        <v>46155</v>
      </c>
      <c r="EL2" s="17">
        <v>46156</v>
      </c>
      <c r="EM2" s="17">
        <v>46157</v>
      </c>
      <c r="EN2" s="17">
        <v>46158</v>
      </c>
      <c r="EO2" s="17">
        <v>46159</v>
      </c>
      <c r="EP2" s="17">
        <v>46160</v>
      </c>
      <c r="EQ2" s="17">
        <v>46161</v>
      </c>
      <c r="ER2" s="17">
        <v>46162</v>
      </c>
      <c r="ES2" s="17">
        <v>46163</v>
      </c>
      <c r="ET2" s="17">
        <v>46164</v>
      </c>
      <c r="EU2" s="17">
        <v>46165</v>
      </c>
      <c r="EV2" s="17">
        <v>46166</v>
      </c>
      <c r="EW2" s="17">
        <v>46167</v>
      </c>
      <c r="EX2" s="17">
        <v>46168</v>
      </c>
      <c r="EY2" s="17">
        <v>46169</v>
      </c>
      <c r="EZ2" s="17">
        <v>46170</v>
      </c>
      <c r="FA2" s="17">
        <v>46171</v>
      </c>
      <c r="FB2" s="17">
        <v>46172</v>
      </c>
      <c r="FC2" s="17">
        <v>46173</v>
      </c>
      <c r="FD2" s="17" t="s">
        <v>5</v>
      </c>
      <c r="FE2" s="17">
        <v>46174</v>
      </c>
      <c r="FF2" s="17">
        <v>46175</v>
      </c>
      <c r="FG2" s="17">
        <v>46176</v>
      </c>
      <c r="FH2" s="17">
        <v>46177</v>
      </c>
      <c r="FI2" s="17">
        <v>46178</v>
      </c>
      <c r="FJ2" s="17">
        <v>46179</v>
      </c>
      <c r="FK2" s="17">
        <v>46180</v>
      </c>
      <c r="FL2" s="17">
        <v>46181</v>
      </c>
      <c r="FM2" s="17">
        <v>46182</v>
      </c>
      <c r="FN2" s="17">
        <v>46183</v>
      </c>
      <c r="FO2" s="17">
        <v>46184</v>
      </c>
      <c r="FP2" s="17">
        <v>46185</v>
      </c>
      <c r="FQ2" s="17">
        <v>46186</v>
      </c>
      <c r="FR2" s="17">
        <v>46187</v>
      </c>
      <c r="FS2" s="17">
        <v>46188</v>
      </c>
      <c r="FT2" s="17">
        <v>46189</v>
      </c>
      <c r="FU2" s="17">
        <v>46190</v>
      </c>
      <c r="FV2" s="17">
        <v>46191</v>
      </c>
      <c r="FW2" s="17">
        <v>46192</v>
      </c>
      <c r="FX2" s="17">
        <v>46193</v>
      </c>
      <c r="FY2" s="17">
        <v>46194</v>
      </c>
      <c r="FZ2" s="17">
        <v>46195</v>
      </c>
      <c r="GA2" s="17">
        <v>46196</v>
      </c>
      <c r="GB2" s="17">
        <v>46197</v>
      </c>
      <c r="GC2" s="17">
        <v>46198</v>
      </c>
      <c r="GD2" s="17">
        <v>46199</v>
      </c>
      <c r="GE2" s="17">
        <v>46200</v>
      </c>
      <c r="GF2" s="17">
        <v>46201</v>
      </c>
      <c r="GG2" s="17">
        <v>46202</v>
      </c>
      <c r="GH2" s="17">
        <v>46203</v>
      </c>
      <c r="GI2" s="17" t="s">
        <v>6</v>
      </c>
      <c r="GJ2" s="17">
        <v>46204</v>
      </c>
      <c r="GK2" s="17">
        <v>46205</v>
      </c>
      <c r="GL2" s="17">
        <v>46206</v>
      </c>
      <c r="GM2" s="17">
        <v>46207</v>
      </c>
      <c r="GN2" s="17">
        <v>46208</v>
      </c>
      <c r="GO2" s="17">
        <v>46209</v>
      </c>
      <c r="GP2" s="17">
        <v>46210</v>
      </c>
      <c r="GQ2" s="17">
        <v>46211</v>
      </c>
      <c r="GR2" s="17">
        <v>46212</v>
      </c>
      <c r="GS2" s="17">
        <v>46213</v>
      </c>
      <c r="GT2" s="17">
        <v>46214</v>
      </c>
      <c r="GU2" s="17">
        <v>46215</v>
      </c>
      <c r="GV2" s="17">
        <v>46216</v>
      </c>
      <c r="GW2" s="17">
        <v>46217</v>
      </c>
      <c r="GX2" s="17">
        <v>46218</v>
      </c>
      <c r="GY2" s="17">
        <v>46219</v>
      </c>
      <c r="GZ2" s="17">
        <v>46220</v>
      </c>
      <c r="HA2" s="17">
        <v>46221</v>
      </c>
      <c r="HB2" s="17">
        <v>46222</v>
      </c>
      <c r="HC2" s="17">
        <v>46223</v>
      </c>
      <c r="HD2" s="17">
        <v>46224</v>
      </c>
      <c r="HE2" s="17">
        <v>46225</v>
      </c>
      <c r="HF2" s="17">
        <v>46226</v>
      </c>
      <c r="HG2" s="17">
        <v>46227</v>
      </c>
      <c r="HH2" s="17">
        <v>46228</v>
      </c>
      <c r="HI2" s="17">
        <v>46229</v>
      </c>
      <c r="HJ2" s="17">
        <v>46230</v>
      </c>
      <c r="HK2" s="17">
        <v>46231</v>
      </c>
      <c r="HL2" s="17">
        <v>46232</v>
      </c>
      <c r="HM2" s="17">
        <v>46233</v>
      </c>
      <c r="HN2" s="17">
        <v>46234</v>
      </c>
      <c r="HO2" s="17" t="s">
        <v>7</v>
      </c>
      <c r="HP2" s="17">
        <v>46235</v>
      </c>
      <c r="HQ2" s="17">
        <v>46236</v>
      </c>
      <c r="HR2" s="17">
        <v>46237</v>
      </c>
      <c r="HS2" s="17">
        <v>46238</v>
      </c>
      <c r="HT2" s="17">
        <v>46239</v>
      </c>
      <c r="HU2" s="17">
        <v>46240</v>
      </c>
      <c r="HV2" s="17">
        <v>46241</v>
      </c>
      <c r="HW2" s="17">
        <v>46242</v>
      </c>
      <c r="HX2" s="17">
        <v>46243</v>
      </c>
      <c r="HY2" s="17">
        <v>46244</v>
      </c>
      <c r="HZ2" s="17">
        <v>46245</v>
      </c>
      <c r="IA2" s="17">
        <v>46246</v>
      </c>
      <c r="IB2" s="17">
        <v>46247</v>
      </c>
      <c r="IC2" s="17">
        <v>46248</v>
      </c>
      <c r="ID2" s="17">
        <v>46249</v>
      </c>
      <c r="IE2" s="17">
        <v>46250</v>
      </c>
      <c r="IF2" s="17">
        <v>46251</v>
      </c>
      <c r="IG2" s="17">
        <v>46252</v>
      </c>
      <c r="IH2" s="17">
        <v>46253</v>
      </c>
      <c r="II2" s="17">
        <v>46254</v>
      </c>
      <c r="IJ2" s="17">
        <v>46255</v>
      </c>
      <c r="IK2" s="17">
        <v>46256</v>
      </c>
      <c r="IL2" s="17">
        <v>46257</v>
      </c>
      <c r="IM2" s="17">
        <v>46258</v>
      </c>
      <c r="IN2" s="17">
        <v>46259</v>
      </c>
      <c r="IO2" s="17">
        <v>46260</v>
      </c>
      <c r="IP2" s="17">
        <v>46261</v>
      </c>
      <c r="IQ2" s="17">
        <v>46262</v>
      </c>
      <c r="IR2" s="17">
        <v>46263</v>
      </c>
      <c r="IS2" s="17">
        <v>46264</v>
      </c>
      <c r="IT2" s="17">
        <v>46265</v>
      </c>
      <c r="IU2" s="17" t="s">
        <v>8</v>
      </c>
      <c r="IV2" s="17">
        <v>46266</v>
      </c>
      <c r="IW2" s="17">
        <v>46267</v>
      </c>
      <c r="IX2" s="17">
        <v>46268</v>
      </c>
      <c r="IY2" s="17">
        <v>46269</v>
      </c>
      <c r="IZ2" s="17">
        <v>46270</v>
      </c>
      <c r="JA2" s="17">
        <v>46271</v>
      </c>
      <c r="JB2" s="17">
        <v>46272</v>
      </c>
      <c r="JC2" s="17">
        <v>46273</v>
      </c>
      <c r="JD2" s="17">
        <v>46274</v>
      </c>
      <c r="JE2" s="17">
        <v>46275</v>
      </c>
      <c r="JF2" s="17">
        <v>46276</v>
      </c>
      <c r="JG2" s="17">
        <v>46277</v>
      </c>
      <c r="JH2" s="17">
        <v>46278</v>
      </c>
      <c r="JI2" s="17">
        <v>46279</v>
      </c>
      <c r="JJ2" s="17">
        <v>46280</v>
      </c>
      <c r="JK2" s="17">
        <v>46281</v>
      </c>
      <c r="JL2" s="17">
        <v>46282</v>
      </c>
      <c r="JM2" s="17">
        <v>46283</v>
      </c>
      <c r="JN2" s="17">
        <v>46284</v>
      </c>
      <c r="JO2" s="17">
        <v>46285</v>
      </c>
      <c r="JP2" s="17">
        <v>46286</v>
      </c>
      <c r="JQ2" s="17">
        <v>46287</v>
      </c>
      <c r="JR2" s="17">
        <v>46288</v>
      </c>
      <c r="JS2" s="17">
        <v>46289</v>
      </c>
      <c r="JT2" s="17">
        <v>46290</v>
      </c>
      <c r="JU2" s="17">
        <v>46291</v>
      </c>
      <c r="JV2" s="17">
        <v>46292</v>
      </c>
      <c r="JW2" s="17">
        <v>46293</v>
      </c>
      <c r="JX2" s="17">
        <v>46294</v>
      </c>
      <c r="JY2" s="17">
        <v>46295</v>
      </c>
      <c r="JZ2" s="17" t="s">
        <v>57</v>
      </c>
      <c r="KA2" s="17">
        <v>46296</v>
      </c>
      <c r="KB2" s="17">
        <v>46297</v>
      </c>
      <c r="KC2" s="17">
        <v>46298</v>
      </c>
      <c r="KD2" s="17">
        <v>46299</v>
      </c>
      <c r="KE2" s="17">
        <v>46300</v>
      </c>
      <c r="KF2" s="17">
        <v>46301</v>
      </c>
      <c r="KG2" s="17">
        <v>46302</v>
      </c>
      <c r="KH2" s="17">
        <v>46303</v>
      </c>
      <c r="KI2" s="17">
        <v>46304</v>
      </c>
      <c r="KJ2" s="17">
        <v>46305</v>
      </c>
      <c r="KK2" s="17">
        <v>46306</v>
      </c>
      <c r="KL2" s="17">
        <v>46307</v>
      </c>
      <c r="KM2" s="17">
        <v>46308</v>
      </c>
      <c r="KN2" s="17">
        <v>46309</v>
      </c>
      <c r="KO2" s="17">
        <v>46310</v>
      </c>
      <c r="KP2" s="17">
        <v>46311</v>
      </c>
      <c r="KQ2" s="17">
        <v>46312</v>
      </c>
      <c r="KR2" s="17">
        <v>46313</v>
      </c>
      <c r="KS2" s="17">
        <v>46314</v>
      </c>
      <c r="KT2" s="17">
        <v>46315</v>
      </c>
      <c r="KU2" s="17">
        <v>46316</v>
      </c>
      <c r="KV2" s="17">
        <v>46317</v>
      </c>
      <c r="KW2" s="17">
        <v>46318</v>
      </c>
      <c r="KX2" s="17">
        <v>46319</v>
      </c>
      <c r="KY2" s="17">
        <v>46320</v>
      </c>
      <c r="KZ2" s="17">
        <v>46321</v>
      </c>
      <c r="LA2" s="17">
        <v>46322</v>
      </c>
      <c r="LB2" s="17">
        <v>46323</v>
      </c>
      <c r="LC2" s="17">
        <v>46324</v>
      </c>
      <c r="LD2" s="17">
        <v>46325</v>
      </c>
      <c r="LE2" s="17">
        <v>46326</v>
      </c>
      <c r="LF2" s="17" t="s">
        <v>62</v>
      </c>
      <c r="LG2" s="17">
        <v>46327</v>
      </c>
      <c r="LH2" s="17">
        <v>46328</v>
      </c>
      <c r="LI2" s="17">
        <v>46329</v>
      </c>
      <c r="LJ2" s="17">
        <v>46330</v>
      </c>
      <c r="LK2" s="17">
        <v>46331</v>
      </c>
      <c r="LL2" s="17">
        <v>46332</v>
      </c>
      <c r="LM2" s="17">
        <v>46333</v>
      </c>
      <c r="LN2" s="17">
        <v>46334</v>
      </c>
      <c r="LO2" s="17">
        <v>46335</v>
      </c>
      <c r="LP2" s="17">
        <v>46336</v>
      </c>
      <c r="LQ2" s="17">
        <v>46337</v>
      </c>
      <c r="LR2" s="17">
        <v>46338</v>
      </c>
      <c r="LS2" s="17">
        <v>46339</v>
      </c>
      <c r="LT2" s="17">
        <v>46340</v>
      </c>
      <c r="LU2" s="17">
        <v>46341</v>
      </c>
      <c r="LV2" s="17">
        <v>46342</v>
      </c>
      <c r="LW2" s="17">
        <v>46343</v>
      </c>
      <c r="LX2" s="17">
        <v>46344</v>
      </c>
      <c r="LY2" s="17">
        <v>46345</v>
      </c>
      <c r="LZ2" s="17">
        <v>46346</v>
      </c>
      <c r="MA2" s="17">
        <v>46347</v>
      </c>
      <c r="MB2" s="17">
        <v>46348</v>
      </c>
      <c r="MC2" s="17">
        <v>46349</v>
      </c>
      <c r="MD2" s="17">
        <v>46350</v>
      </c>
      <c r="ME2" s="17">
        <v>46351</v>
      </c>
      <c r="MF2" s="17">
        <v>46352</v>
      </c>
      <c r="MG2" s="17">
        <v>46353</v>
      </c>
      <c r="MH2" s="17">
        <v>46354</v>
      </c>
      <c r="MI2" s="17">
        <v>46355</v>
      </c>
      <c r="MJ2" s="17">
        <v>46356</v>
      </c>
      <c r="MK2" s="17" t="s">
        <v>57</v>
      </c>
      <c r="ML2" s="17">
        <v>46357</v>
      </c>
      <c r="MM2" s="17">
        <v>46358</v>
      </c>
      <c r="MN2" s="17">
        <v>46359</v>
      </c>
      <c r="MO2" s="17">
        <v>46360</v>
      </c>
      <c r="MP2" s="17">
        <v>46361</v>
      </c>
      <c r="MQ2" s="17">
        <v>46362</v>
      </c>
      <c r="MR2" s="17">
        <v>46363</v>
      </c>
      <c r="MS2" s="17">
        <v>46364</v>
      </c>
      <c r="MT2" s="17">
        <v>46365</v>
      </c>
      <c r="MU2" s="17">
        <v>46366</v>
      </c>
      <c r="MV2" s="17">
        <v>46367</v>
      </c>
      <c r="MW2" s="17">
        <v>46368</v>
      </c>
      <c r="MX2" s="17">
        <v>46369</v>
      </c>
      <c r="MY2" s="17">
        <v>46370</v>
      </c>
      <c r="MZ2" s="17">
        <v>46371</v>
      </c>
      <c r="NA2" s="17">
        <v>46372</v>
      </c>
      <c r="NB2" s="17">
        <v>46373</v>
      </c>
      <c r="NC2" s="17">
        <v>46374</v>
      </c>
      <c r="ND2" s="17">
        <v>46375</v>
      </c>
      <c r="NE2" s="17">
        <v>46376</v>
      </c>
      <c r="NF2" s="17">
        <v>46377</v>
      </c>
      <c r="NG2" s="17">
        <v>46378</v>
      </c>
      <c r="NH2" s="17">
        <v>46379</v>
      </c>
      <c r="NI2" s="17">
        <v>46380</v>
      </c>
      <c r="NJ2" s="17">
        <v>46381</v>
      </c>
      <c r="NK2" s="17">
        <v>46382</v>
      </c>
      <c r="NL2" s="17">
        <v>46383</v>
      </c>
      <c r="NM2" s="17">
        <v>46384</v>
      </c>
      <c r="NN2" s="17">
        <v>46385</v>
      </c>
      <c r="NO2" s="17">
        <v>46386</v>
      </c>
      <c r="NP2" s="17">
        <v>46387</v>
      </c>
    </row>
    <row r="3" spans="1:380" s="2" customFormat="1" x14ac:dyDescent="0.2">
      <c r="A3" s="1"/>
      <c r="B3" s="15"/>
      <c r="C3" s="5">
        <f>C6-C24+C114</f>
        <v>1135368.4900000021</v>
      </c>
      <c r="D3" s="5">
        <f>D6-D24+D114</f>
        <v>609646.08000000007</v>
      </c>
      <c r="AJ3" s="5">
        <f>AJ6-AJ24+AJ114</f>
        <v>-770286.94000000041</v>
      </c>
      <c r="BM3" s="5">
        <f>BM6-BM24+BM114</f>
        <v>-9928.8600000003353</v>
      </c>
      <c r="CS3" s="5">
        <f>CS6-CS24+CS114</f>
        <v>-188222.79000000097</v>
      </c>
      <c r="DX3" s="5">
        <f>DX6-DX24+DX114</f>
        <v>1494161.0000000009</v>
      </c>
      <c r="DY3" s="2">
        <f t="shared" ref="DY3:FC3" si="0">SUM(DY8:DY14)-SUM(DY27:DY106)+SUM(DY10:DY20)-SUM(DY59:DY107)</f>
        <v>249085.11000000002</v>
      </c>
      <c r="DZ3" s="2">
        <f t="shared" si="0"/>
        <v>129291.61000000002</v>
      </c>
      <c r="EA3" s="2">
        <f t="shared" si="0"/>
        <v>289710.92</v>
      </c>
      <c r="EB3" s="2">
        <f t="shared" si="0"/>
        <v>287423.33</v>
      </c>
      <c r="EC3" s="2">
        <f t="shared" si="0"/>
        <v>208118.31</v>
      </c>
      <c r="ED3" s="2">
        <f t="shared" si="0"/>
        <v>153101.97</v>
      </c>
      <c r="EE3" s="2">
        <f t="shared" si="0"/>
        <v>200616.78000000003</v>
      </c>
      <c r="EF3" s="2">
        <f t="shared" si="0"/>
        <v>158731.40000000002</v>
      </c>
      <c r="EG3" s="2">
        <f t="shared" si="0"/>
        <v>163162.02000000002</v>
      </c>
      <c r="EH3" s="2">
        <f t="shared" si="0"/>
        <v>181871.04</v>
      </c>
      <c r="EI3" s="2">
        <f t="shared" si="0"/>
        <v>996393.17999999993</v>
      </c>
      <c r="EJ3" s="2">
        <f t="shared" si="0"/>
        <v>-919287.14</v>
      </c>
      <c r="EK3" s="2">
        <f t="shared" si="0"/>
        <v>-324911.87</v>
      </c>
      <c r="EL3" s="2">
        <f t="shared" si="0"/>
        <v>-277826.67999999988</v>
      </c>
      <c r="EM3" s="2">
        <f t="shared" si="0"/>
        <v>-381674.6399999999</v>
      </c>
      <c r="EN3" s="2">
        <f t="shared" si="0"/>
        <v>135660.63</v>
      </c>
      <c r="EO3" s="2">
        <f t="shared" si="0"/>
        <v>342395.56000000006</v>
      </c>
      <c r="EP3" s="2">
        <f t="shared" si="0"/>
        <v>233991.89</v>
      </c>
      <c r="EQ3" s="2">
        <f t="shared" si="0"/>
        <v>-237641.81000000006</v>
      </c>
      <c r="ER3" s="2">
        <f t="shared" si="0"/>
        <v>-212772.03000000003</v>
      </c>
      <c r="ES3" s="2">
        <f t="shared" si="0"/>
        <v>-139835.85999999999</v>
      </c>
      <c r="ET3" s="2">
        <f t="shared" si="0"/>
        <v>-285668.14</v>
      </c>
      <c r="EU3" s="2">
        <f t="shared" si="0"/>
        <v>118722.90000000001</v>
      </c>
      <c r="EV3" s="2">
        <f t="shared" si="0"/>
        <v>198864.39</v>
      </c>
      <c r="EW3" s="2">
        <f t="shared" si="0"/>
        <v>-3085998.81</v>
      </c>
      <c r="EX3" s="2">
        <f t="shared" si="0"/>
        <v>-19714.419999999969</v>
      </c>
      <c r="EY3" s="2">
        <f t="shared" si="0"/>
        <v>16941.87</v>
      </c>
      <c r="EZ3" s="2">
        <f t="shared" si="0"/>
        <v>2110998.9300000006</v>
      </c>
      <c r="FA3" s="2">
        <f t="shared" si="0"/>
        <v>-274090.08999999997</v>
      </c>
      <c r="FB3" s="2">
        <f t="shared" si="0"/>
        <v>151009.05000000002</v>
      </c>
      <c r="FC3" s="2">
        <f t="shared" si="0"/>
        <v>177920.84000000003</v>
      </c>
      <c r="FD3" s="5">
        <f>FD6-FD24</f>
        <v>0</v>
      </c>
      <c r="FE3" s="2">
        <f t="shared" ref="FE3:GH3" si="1">SUM(FE8:FE14)-SUM(FE27:FE106)+SUM(FE10:FE20)-SUM(FE59:FE107)</f>
        <v>0</v>
      </c>
      <c r="FF3" s="2">
        <f t="shared" si="1"/>
        <v>0</v>
      </c>
      <c r="FG3" s="2">
        <f t="shared" si="1"/>
        <v>0</v>
      </c>
      <c r="FH3" s="2">
        <f t="shared" si="1"/>
        <v>0</v>
      </c>
      <c r="FI3" s="2">
        <f t="shared" si="1"/>
        <v>0</v>
      </c>
      <c r="FJ3" s="2">
        <f t="shared" si="1"/>
        <v>0</v>
      </c>
      <c r="FK3" s="2">
        <f t="shared" si="1"/>
        <v>0</v>
      </c>
      <c r="FL3" s="2">
        <f t="shared" si="1"/>
        <v>0</v>
      </c>
      <c r="FM3" s="2">
        <f t="shared" si="1"/>
        <v>0</v>
      </c>
      <c r="FN3" s="2">
        <f t="shared" si="1"/>
        <v>0</v>
      </c>
      <c r="FO3" s="2">
        <f t="shared" si="1"/>
        <v>0</v>
      </c>
      <c r="FP3" s="2">
        <f t="shared" si="1"/>
        <v>0</v>
      </c>
      <c r="FQ3" s="2">
        <f t="shared" si="1"/>
        <v>0</v>
      </c>
      <c r="FR3" s="2">
        <f t="shared" si="1"/>
        <v>0</v>
      </c>
      <c r="FS3" s="2">
        <f t="shared" si="1"/>
        <v>0</v>
      </c>
      <c r="FT3" s="2">
        <f t="shared" si="1"/>
        <v>0</v>
      </c>
      <c r="FU3" s="2">
        <f t="shared" si="1"/>
        <v>0</v>
      </c>
      <c r="FV3" s="2">
        <f t="shared" si="1"/>
        <v>0</v>
      </c>
      <c r="FW3" s="2">
        <f t="shared" si="1"/>
        <v>0</v>
      </c>
      <c r="FX3" s="2">
        <f t="shared" si="1"/>
        <v>0</v>
      </c>
      <c r="FY3" s="2">
        <f t="shared" si="1"/>
        <v>0</v>
      </c>
      <c r="FZ3" s="2">
        <f t="shared" si="1"/>
        <v>0</v>
      </c>
      <c r="GA3" s="2">
        <f t="shared" si="1"/>
        <v>0</v>
      </c>
      <c r="GB3" s="2">
        <f t="shared" si="1"/>
        <v>0</v>
      </c>
      <c r="GC3" s="2">
        <f t="shared" si="1"/>
        <v>0</v>
      </c>
      <c r="GD3" s="2">
        <f t="shared" si="1"/>
        <v>0</v>
      </c>
      <c r="GE3" s="2">
        <f t="shared" si="1"/>
        <v>0</v>
      </c>
      <c r="GF3" s="2">
        <f t="shared" si="1"/>
        <v>0</v>
      </c>
      <c r="GG3" s="2">
        <f t="shared" si="1"/>
        <v>0</v>
      </c>
      <c r="GH3" s="2">
        <f t="shared" si="1"/>
        <v>0</v>
      </c>
      <c r="GI3" s="5">
        <f>GI6-GI24</f>
        <v>0</v>
      </c>
      <c r="GJ3" s="2">
        <f t="shared" ref="GJ3:HN3" si="2">SUM(GJ8:GJ14)-SUM(GJ27:GJ106)+SUM(GJ10:GJ20)-SUM(GJ59:GJ107)</f>
        <v>0</v>
      </c>
      <c r="GK3" s="2">
        <f t="shared" si="2"/>
        <v>0</v>
      </c>
      <c r="GL3" s="2">
        <f t="shared" si="2"/>
        <v>0</v>
      </c>
      <c r="GM3" s="2">
        <f t="shared" si="2"/>
        <v>0</v>
      </c>
      <c r="GN3" s="2">
        <f t="shared" si="2"/>
        <v>0</v>
      </c>
      <c r="GO3" s="2">
        <f t="shared" si="2"/>
        <v>0</v>
      </c>
      <c r="GP3" s="2">
        <f t="shared" si="2"/>
        <v>0</v>
      </c>
      <c r="GQ3" s="2">
        <f t="shared" si="2"/>
        <v>0</v>
      </c>
      <c r="GR3" s="2">
        <f t="shared" si="2"/>
        <v>0</v>
      </c>
      <c r="GS3" s="2">
        <f t="shared" si="2"/>
        <v>0</v>
      </c>
      <c r="GT3" s="2">
        <f t="shared" si="2"/>
        <v>0</v>
      </c>
      <c r="GU3" s="2">
        <f t="shared" si="2"/>
        <v>0</v>
      </c>
      <c r="GV3" s="2">
        <f t="shared" si="2"/>
        <v>0</v>
      </c>
      <c r="GW3" s="2">
        <f t="shared" si="2"/>
        <v>0</v>
      </c>
      <c r="GX3" s="2">
        <f t="shared" si="2"/>
        <v>0</v>
      </c>
      <c r="GY3" s="2">
        <f t="shared" si="2"/>
        <v>0</v>
      </c>
      <c r="GZ3" s="2">
        <f t="shared" si="2"/>
        <v>0</v>
      </c>
      <c r="HA3" s="2">
        <f t="shared" si="2"/>
        <v>0</v>
      </c>
      <c r="HB3" s="2">
        <f t="shared" si="2"/>
        <v>0</v>
      </c>
      <c r="HC3" s="2">
        <f t="shared" si="2"/>
        <v>0</v>
      </c>
      <c r="HD3" s="2">
        <f t="shared" si="2"/>
        <v>0</v>
      </c>
      <c r="HE3" s="2">
        <f t="shared" si="2"/>
        <v>0</v>
      </c>
      <c r="HF3" s="2">
        <f t="shared" si="2"/>
        <v>0</v>
      </c>
      <c r="HG3" s="2">
        <f t="shared" si="2"/>
        <v>0</v>
      </c>
      <c r="HH3" s="2">
        <f t="shared" si="2"/>
        <v>0</v>
      </c>
      <c r="HI3" s="2">
        <f t="shared" si="2"/>
        <v>0</v>
      </c>
      <c r="HJ3" s="2">
        <f t="shared" si="2"/>
        <v>0</v>
      </c>
      <c r="HK3" s="2">
        <f t="shared" si="2"/>
        <v>0</v>
      </c>
      <c r="HL3" s="2">
        <f t="shared" si="2"/>
        <v>0</v>
      </c>
      <c r="HM3" s="2">
        <f t="shared" si="2"/>
        <v>0</v>
      </c>
      <c r="HN3" s="2">
        <f t="shared" si="2"/>
        <v>0</v>
      </c>
      <c r="HO3" s="5">
        <f>HO6-HO24</f>
        <v>0</v>
      </c>
      <c r="HP3" s="2">
        <f t="shared" ref="HP3:IT3" si="3">SUM(HP8:HP14)-SUM(HP27:HP106)+SUM(HP10:HP20)-SUM(HP59:HP107)</f>
        <v>0</v>
      </c>
      <c r="HQ3" s="2">
        <f t="shared" si="3"/>
        <v>0</v>
      </c>
      <c r="HR3" s="2">
        <f t="shared" si="3"/>
        <v>0</v>
      </c>
      <c r="HS3" s="2">
        <f t="shared" si="3"/>
        <v>0</v>
      </c>
      <c r="HT3" s="2">
        <f t="shared" si="3"/>
        <v>0</v>
      </c>
      <c r="HU3" s="2">
        <f t="shared" si="3"/>
        <v>0</v>
      </c>
      <c r="HV3" s="2">
        <f t="shared" si="3"/>
        <v>0</v>
      </c>
      <c r="HW3" s="2">
        <f t="shared" si="3"/>
        <v>0</v>
      </c>
      <c r="HX3" s="2">
        <f t="shared" si="3"/>
        <v>0</v>
      </c>
      <c r="HY3" s="2">
        <f t="shared" si="3"/>
        <v>0</v>
      </c>
      <c r="HZ3" s="2">
        <f t="shared" si="3"/>
        <v>0</v>
      </c>
      <c r="IA3" s="2">
        <f t="shared" si="3"/>
        <v>0</v>
      </c>
      <c r="IB3" s="2">
        <f t="shared" si="3"/>
        <v>0</v>
      </c>
      <c r="IC3" s="2">
        <f t="shared" si="3"/>
        <v>0</v>
      </c>
      <c r="ID3" s="2">
        <f t="shared" si="3"/>
        <v>0</v>
      </c>
      <c r="IE3" s="2">
        <f t="shared" si="3"/>
        <v>0</v>
      </c>
      <c r="IF3" s="2">
        <f t="shared" si="3"/>
        <v>0</v>
      </c>
      <c r="IG3" s="2">
        <f t="shared" si="3"/>
        <v>0</v>
      </c>
      <c r="IH3" s="2">
        <f t="shared" si="3"/>
        <v>0</v>
      </c>
      <c r="II3" s="2">
        <f t="shared" si="3"/>
        <v>0</v>
      </c>
      <c r="IJ3" s="2">
        <f t="shared" si="3"/>
        <v>0</v>
      </c>
      <c r="IK3" s="2">
        <f t="shared" si="3"/>
        <v>0</v>
      </c>
      <c r="IL3" s="2">
        <f t="shared" si="3"/>
        <v>0</v>
      </c>
      <c r="IM3" s="2">
        <f t="shared" si="3"/>
        <v>0</v>
      </c>
      <c r="IN3" s="2">
        <f t="shared" si="3"/>
        <v>0</v>
      </c>
      <c r="IO3" s="2">
        <f t="shared" si="3"/>
        <v>0</v>
      </c>
      <c r="IP3" s="2">
        <f t="shared" si="3"/>
        <v>0</v>
      </c>
      <c r="IQ3" s="2">
        <f t="shared" si="3"/>
        <v>0</v>
      </c>
      <c r="IR3" s="2">
        <f t="shared" si="3"/>
        <v>0</v>
      </c>
      <c r="IS3" s="2">
        <f t="shared" si="3"/>
        <v>0</v>
      </c>
      <c r="IT3" s="2">
        <f t="shared" si="3"/>
        <v>0</v>
      </c>
      <c r="IU3" s="5">
        <f>IU6-IU24</f>
        <v>0</v>
      </c>
      <c r="IV3" s="2">
        <f t="shared" ref="IV3:JY3" si="4">SUM(IV8:IV14)-SUM(IV27:IV106)+SUM(IV10:IV20)-SUM(IV59:IV107)</f>
        <v>0</v>
      </c>
      <c r="IW3" s="2">
        <f t="shared" si="4"/>
        <v>0</v>
      </c>
      <c r="IX3" s="2">
        <f t="shared" si="4"/>
        <v>0</v>
      </c>
      <c r="IY3" s="2">
        <f t="shared" si="4"/>
        <v>0</v>
      </c>
      <c r="IZ3" s="2">
        <f t="shared" si="4"/>
        <v>0</v>
      </c>
      <c r="JA3" s="2">
        <f t="shared" si="4"/>
        <v>0</v>
      </c>
      <c r="JB3" s="2">
        <f t="shared" si="4"/>
        <v>0</v>
      </c>
      <c r="JC3" s="2">
        <f t="shared" si="4"/>
        <v>0</v>
      </c>
      <c r="JD3" s="2">
        <f t="shared" si="4"/>
        <v>0</v>
      </c>
      <c r="JE3" s="2">
        <f t="shared" si="4"/>
        <v>0</v>
      </c>
      <c r="JF3" s="2">
        <f t="shared" si="4"/>
        <v>0</v>
      </c>
      <c r="JG3" s="2">
        <f t="shared" si="4"/>
        <v>0</v>
      </c>
      <c r="JH3" s="2">
        <f t="shared" si="4"/>
        <v>0</v>
      </c>
      <c r="JI3" s="2">
        <f t="shared" si="4"/>
        <v>0</v>
      </c>
      <c r="JJ3" s="2">
        <f t="shared" si="4"/>
        <v>0</v>
      </c>
      <c r="JK3" s="2">
        <f t="shared" si="4"/>
        <v>0</v>
      </c>
      <c r="JL3" s="2">
        <f t="shared" si="4"/>
        <v>0</v>
      </c>
      <c r="JM3" s="2">
        <f t="shared" si="4"/>
        <v>0</v>
      </c>
      <c r="JN3" s="2">
        <f t="shared" si="4"/>
        <v>0</v>
      </c>
      <c r="JO3" s="2">
        <f t="shared" si="4"/>
        <v>0</v>
      </c>
      <c r="JP3" s="2">
        <f t="shared" si="4"/>
        <v>0</v>
      </c>
      <c r="JQ3" s="2">
        <f t="shared" si="4"/>
        <v>0</v>
      </c>
      <c r="JR3" s="2">
        <f t="shared" si="4"/>
        <v>0</v>
      </c>
      <c r="JS3" s="2">
        <f t="shared" si="4"/>
        <v>0</v>
      </c>
      <c r="JT3" s="2">
        <f t="shared" si="4"/>
        <v>0</v>
      </c>
      <c r="JU3" s="2">
        <f t="shared" si="4"/>
        <v>0</v>
      </c>
      <c r="JV3" s="2">
        <f t="shared" si="4"/>
        <v>0</v>
      </c>
      <c r="JW3" s="2">
        <f t="shared" si="4"/>
        <v>0</v>
      </c>
      <c r="JX3" s="2">
        <f t="shared" si="4"/>
        <v>0</v>
      </c>
      <c r="JY3" s="2">
        <f t="shared" si="4"/>
        <v>0</v>
      </c>
      <c r="JZ3" s="5">
        <f>JZ6-JZ24</f>
        <v>0</v>
      </c>
      <c r="KA3" s="2">
        <f t="shared" ref="KA3:LE3" si="5">SUM(KA8:KA14)-SUM(KA27:KA106)+SUM(KA10:KA20)-SUM(KA59:KA107)</f>
        <v>0</v>
      </c>
      <c r="KB3" s="2">
        <f t="shared" si="5"/>
        <v>0</v>
      </c>
      <c r="KC3" s="2">
        <f t="shared" si="5"/>
        <v>0</v>
      </c>
      <c r="KD3" s="2">
        <f t="shared" si="5"/>
        <v>0</v>
      </c>
      <c r="KE3" s="2">
        <f t="shared" si="5"/>
        <v>0</v>
      </c>
      <c r="KF3" s="2">
        <f t="shared" si="5"/>
        <v>0</v>
      </c>
      <c r="KG3" s="2">
        <f t="shared" si="5"/>
        <v>0</v>
      </c>
      <c r="KH3" s="2">
        <f t="shared" si="5"/>
        <v>0</v>
      </c>
      <c r="KI3" s="2">
        <f t="shared" si="5"/>
        <v>0</v>
      </c>
      <c r="KJ3" s="2">
        <f t="shared" si="5"/>
        <v>0</v>
      </c>
      <c r="KK3" s="2">
        <f t="shared" si="5"/>
        <v>0</v>
      </c>
      <c r="KL3" s="2">
        <f t="shared" si="5"/>
        <v>0</v>
      </c>
      <c r="KM3" s="2">
        <f t="shared" si="5"/>
        <v>0</v>
      </c>
      <c r="KN3" s="2">
        <f t="shared" si="5"/>
        <v>0</v>
      </c>
      <c r="KO3" s="2">
        <f t="shared" si="5"/>
        <v>0</v>
      </c>
      <c r="KP3" s="2">
        <f t="shared" si="5"/>
        <v>0</v>
      </c>
      <c r="KQ3" s="2">
        <f t="shared" si="5"/>
        <v>0</v>
      </c>
      <c r="KR3" s="2">
        <f t="shared" si="5"/>
        <v>0</v>
      </c>
      <c r="KS3" s="2">
        <f t="shared" si="5"/>
        <v>0</v>
      </c>
      <c r="KT3" s="2">
        <f t="shared" si="5"/>
        <v>0</v>
      </c>
      <c r="KU3" s="2">
        <f t="shared" si="5"/>
        <v>0</v>
      </c>
      <c r="KV3" s="2">
        <f t="shared" si="5"/>
        <v>0</v>
      </c>
      <c r="KW3" s="2">
        <f t="shared" si="5"/>
        <v>0</v>
      </c>
      <c r="KX3" s="2">
        <f t="shared" si="5"/>
        <v>0</v>
      </c>
      <c r="KY3" s="2">
        <f t="shared" si="5"/>
        <v>0</v>
      </c>
      <c r="KZ3" s="2">
        <f t="shared" si="5"/>
        <v>0</v>
      </c>
      <c r="LA3" s="2">
        <f t="shared" si="5"/>
        <v>0</v>
      </c>
      <c r="LB3" s="2">
        <f t="shared" si="5"/>
        <v>0</v>
      </c>
      <c r="LC3" s="2">
        <f t="shared" si="5"/>
        <v>0</v>
      </c>
      <c r="LD3" s="2">
        <f t="shared" si="5"/>
        <v>0</v>
      </c>
      <c r="LE3" s="2">
        <f t="shared" si="5"/>
        <v>0</v>
      </c>
      <c r="LF3" s="5">
        <f>LF6-LF24</f>
        <v>0</v>
      </c>
      <c r="LG3" s="2">
        <f t="shared" ref="LG3:MJ3" si="6">SUM(LG8:LG14)-SUM(LG27:LG106)+SUM(LG10:LG20)-SUM(LG59:LG107)</f>
        <v>0</v>
      </c>
      <c r="LH3" s="2">
        <f t="shared" si="6"/>
        <v>0</v>
      </c>
      <c r="LI3" s="2">
        <f t="shared" si="6"/>
        <v>0</v>
      </c>
      <c r="LJ3" s="2">
        <f t="shared" si="6"/>
        <v>0</v>
      </c>
      <c r="LK3" s="2">
        <f t="shared" si="6"/>
        <v>0</v>
      </c>
      <c r="LL3" s="2">
        <f t="shared" si="6"/>
        <v>0</v>
      </c>
      <c r="LM3" s="2">
        <f t="shared" si="6"/>
        <v>0</v>
      </c>
      <c r="LN3" s="2">
        <f t="shared" si="6"/>
        <v>0</v>
      </c>
      <c r="LO3" s="2">
        <f t="shared" si="6"/>
        <v>0</v>
      </c>
      <c r="LP3" s="2">
        <f t="shared" si="6"/>
        <v>0</v>
      </c>
      <c r="LQ3" s="2">
        <f t="shared" si="6"/>
        <v>0</v>
      </c>
      <c r="LR3" s="2">
        <f t="shared" si="6"/>
        <v>0</v>
      </c>
      <c r="LS3" s="2">
        <f t="shared" si="6"/>
        <v>0</v>
      </c>
      <c r="LT3" s="2">
        <f t="shared" si="6"/>
        <v>0</v>
      </c>
      <c r="LU3" s="2">
        <f t="shared" si="6"/>
        <v>0</v>
      </c>
      <c r="LV3" s="2">
        <f t="shared" si="6"/>
        <v>0</v>
      </c>
      <c r="LW3" s="2">
        <f t="shared" si="6"/>
        <v>0</v>
      </c>
      <c r="LX3" s="2">
        <f t="shared" si="6"/>
        <v>0</v>
      </c>
      <c r="LY3" s="2">
        <f t="shared" si="6"/>
        <v>0</v>
      </c>
      <c r="LZ3" s="2">
        <f t="shared" si="6"/>
        <v>0</v>
      </c>
      <c r="MA3" s="2">
        <f t="shared" si="6"/>
        <v>0</v>
      </c>
      <c r="MB3" s="2">
        <f t="shared" si="6"/>
        <v>0</v>
      </c>
      <c r="MC3" s="2">
        <f t="shared" si="6"/>
        <v>0</v>
      </c>
      <c r="MD3" s="2">
        <f t="shared" si="6"/>
        <v>0</v>
      </c>
      <c r="ME3" s="2">
        <f t="shared" si="6"/>
        <v>0</v>
      </c>
      <c r="MF3" s="2">
        <f t="shared" si="6"/>
        <v>0</v>
      </c>
      <c r="MG3" s="2">
        <f t="shared" si="6"/>
        <v>0</v>
      </c>
      <c r="MH3" s="2">
        <f t="shared" si="6"/>
        <v>0</v>
      </c>
      <c r="MI3" s="2">
        <f t="shared" si="6"/>
        <v>0</v>
      </c>
      <c r="MJ3" s="2">
        <f t="shared" si="6"/>
        <v>0</v>
      </c>
      <c r="MK3" s="5">
        <f>MK6-MK24</f>
        <v>0</v>
      </c>
      <c r="ML3" s="2">
        <f t="shared" ref="ML3:NP3" si="7">SUM(ML8:ML14)-SUM(ML27:ML106)+SUM(ML10:ML20)-SUM(ML59:ML107)</f>
        <v>0</v>
      </c>
      <c r="MM3" s="2">
        <f t="shared" si="7"/>
        <v>0</v>
      </c>
      <c r="MN3" s="2">
        <f t="shared" si="7"/>
        <v>0</v>
      </c>
      <c r="MO3" s="2">
        <f t="shared" si="7"/>
        <v>0</v>
      </c>
      <c r="MP3" s="2">
        <f t="shared" si="7"/>
        <v>0</v>
      </c>
      <c r="MQ3" s="2">
        <f t="shared" si="7"/>
        <v>0</v>
      </c>
      <c r="MR3" s="2">
        <f t="shared" si="7"/>
        <v>0</v>
      </c>
      <c r="MS3" s="2">
        <f t="shared" si="7"/>
        <v>0</v>
      </c>
      <c r="MT3" s="2">
        <f t="shared" si="7"/>
        <v>0</v>
      </c>
      <c r="MU3" s="2">
        <f t="shared" si="7"/>
        <v>0</v>
      </c>
      <c r="MV3" s="2">
        <f t="shared" si="7"/>
        <v>0</v>
      </c>
      <c r="MW3" s="2">
        <f t="shared" si="7"/>
        <v>0</v>
      </c>
      <c r="MX3" s="2">
        <f t="shared" si="7"/>
        <v>0</v>
      </c>
      <c r="MY3" s="2">
        <f t="shared" si="7"/>
        <v>0</v>
      </c>
      <c r="MZ3" s="2">
        <f t="shared" si="7"/>
        <v>0</v>
      </c>
      <c r="NA3" s="2">
        <f t="shared" si="7"/>
        <v>0</v>
      </c>
      <c r="NB3" s="2">
        <f t="shared" si="7"/>
        <v>0</v>
      </c>
      <c r="NC3" s="2">
        <f t="shared" si="7"/>
        <v>0</v>
      </c>
      <c r="ND3" s="2">
        <f t="shared" si="7"/>
        <v>0</v>
      </c>
      <c r="NE3" s="2">
        <f t="shared" si="7"/>
        <v>0</v>
      </c>
      <c r="NF3" s="2">
        <f t="shared" si="7"/>
        <v>0</v>
      </c>
      <c r="NG3" s="2">
        <f t="shared" si="7"/>
        <v>0</v>
      </c>
      <c r="NH3" s="2">
        <f t="shared" si="7"/>
        <v>0</v>
      </c>
      <c r="NI3" s="2">
        <f t="shared" si="7"/>
        <v>0</v>
      </c>
      <c r="NJ3" s="2">
        <f t="shared" si="7"/>
        <v>0</v>
      </c>
      <c r="NK3" s="2">
        <f t="shared" si="7"/>
        <v>0</v>
      </c>
      <c r="NL3" s="2">
        <f t="shared" si="7"/>
        <v>0</v>
      </c>
      <c r="NM3" s="2">
        <f t="shared" si="7"/>
        <v>0</v>
      </c>
      <c r="NN3" s="2">
        <f t="shared" si="7"/>
        <v>0</v>
      </c>
      <c r="NO3" s="2">
        <f t="shared" si="7"/>
        <v>0</v>
      </c>
      <c r="NP3" s="2">
        <f t="shared" si="7"/>
        <v>0</v>
      </c>
    </row>
    <row r="4" spans="1:380" s="2" customFormat="1" x14ac:dyDescent="0.2">
      <c r="A4" s="1"/>
      <c r="B4" s="15"/>
      <c r="C4" s="6"/>
      <c r="D4" s="6"/>
      <c r="AJ4" s="6"/>
      <c r="BM4" s="6"/>
      <c r="CS4" s="6"/>
      <c r="DX4" s="6"/>
      <c r="FD4" s="6"/>
      <c r="GI4" s="6"/>
      <c r="HO4" s="6"/>
      <c r="IU4" s="6"/>
      <c r="JZ4" s="6"/>
      <c r="LF4" s="6"/>
      <c r="MK4" s="6"/>
    </row>
    <row r="5" spans="1:380" s="2" customFormat="1" x14ac:dyDescent="0.2">
      <c r="A5" s="1"/>
      <c r="B5" s="15"/>
      <c r="C5" s="6"/>
      <c r="D5" s="6"/>
      <c r="AJ5" s="6"/>
      <c r="BM5" s="6"/>
      <c r="CS5" s="6"/>
      <c r="DX5" s="6"/>
      <c r="FD5" s="6"/>
      <c r="GI5" s="6"/>
      <c r="HO5" s="6"/>
      <c r="IU5" s="6"/>
      <c r="JZ5" s="6"/>
      <c r="LF5" s="6"/>
      <c r="MK5" s="6"/>
    </row>
    <row r="6" spans="1:380" s="2" customFormat="1" x14ac:dyDescent="0.2">
      <c r="A6" s="1"/>
      <c r="B6" s="18" t="s">
        <v>76</v>
      </c>
      <c r="C6" s="11">
        <f>C7+C13+C17</f>
        <v>26654375.390000001</v>
      </c>
      <c r="D6" s="11">
        <f>D7+D13+D17</f>
        <v>3494161.14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1">
        <f>AJ7+AJ13+AJ17</f>
        <v>3342728.26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1">
        <f>BM7+BM13+BM17</f>
        <v>5984176.4299999997</v>
      </c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1">
        <f>CS7+CS13+CS17</f>
        <v>6246427.9399999995</v>
      </c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1">
        <f>DX7+DX13+DX17</f>
        <v>7586881.6200000001</v>
      </c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1">
        <f>FD7+FD13+FD17</f>
        <v>0</v>
      </c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1">
        <f>GI7+GI13+GI17</f>
        <v>0</v>
      </c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1">
        <f>HO7+HO13+HO17</f>
        <v>0</v>
      </c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1">
        <f>IU7+IU13+IU17</f>
        <v>0</v>
      </c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1">
        <f>JZ7+JZ13+JZ17</f>
        <v>0</v>
      </c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1">
        <f>LF7+LF13+LF17</f>
        <v>0</v>
      </c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1">
        <f>MK7+MK13+MK17</f>
        <v>0</v>
      </c>
    </row>
    <row r="7" spans="1:380" s="2" customFormat="1" x14ac:dyDescent="0.2">
      <c r="A7" s="1"/>
      <c r="B7" s="20" t="s">
        <v>73</v>
      </c>
      <c r="C7" s="10">
        <f>SUM(C8:C11)</f>
        <v>20078428.300000001</v>
      </c>
      <c r="D7" s="21">
        <f>SUM(D8:D11)</f>
        <v>2696575.74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1">
        <f>SUM(AJ8:AJ11)</f>
        <v>2680292.56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1">
        <f>SUM(BM8:BM11)</f>
        <v>3786003.53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1">
        <f>SUM(CS8:CS11)</f>
        <v>5118052.59</v>
      </c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1">
        <f>SUM(DX8:DX11)</f>
        <v>5797503.8799999999</v>
      </c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1">
        <f>SUM(FD8:FD11)</f>
        <v>0</v>
      </c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>
        <f>SUM(GI8:GI11)</f>
        <v>0</v>
      </c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>
        <f>SUM(HO8:HO11)</f>
        <v>0</v>
      </c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>
        <f>SUM(IU8:IU11)</f>
        <v>0</v>
      </c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>
        <f>SUM(JZ8:JZ11)</f>
        <v>0</v>
      </c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>
        <f>SUM(LF8:LF11)</f>
        <v>0</v>
      </c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>
        <f>SUM(MK8:MK11)</f>
        <v>0</v>
      </c>
    </row>
    <row r="8" spans="1:380" s="2" customFormat="1" x14ac:dyDescent="0.2">
      <c r="A8" s="1"/>
      <c r="B8" s="24" t="s">
        <v>63</v>
      </c>
      <c r="C8" s="14">
        <f>D8+AJ8+BM8+CS8+DX8+FD8+GI8+HO8+IU8+JZ8+LF8+MK8</f>
        <v>6475351.919999999</v>
      </c>
      <c r="D8" s="14">
        <f>SUM(E8:AI8)</f>
        <v>1013424.5599999999</v>
      </c>
      <c r="E8" s="3"/>
      <c r="F8" s="3"/>
      <c r="G8" s="3">
        <v>54679.68</v>
      </c>
      <c r="H8" s="3">
        <v>59001</v>
      </c>
      <c r="I8" s="3">
        <v>27047.3</v>
      </c>
      <c r="J8" s="3">
        <v>47899.82</v>
      </c>
      <c r="K8" s="3">
        <v>32690.62</v>
      </c>
      <c r="L8" s="3">
        <v>34641.089999999997</v>
      </c>
      <c r="M8" s="3">
        <v>44767.82</v>
      </c>
      <c r="N8" s="3">
        <v>26642.7</v>
      </c>
      <c r="O8" s="3">
        <v>56019.35</v>
      </c>
      <c r="P8" s="3">
        <v>35188.92</v>
      </c>
      <c r="Q8" s="3">
        <v>61816.17</v>
      </c>
      <c r="R8" s="3">
        <v>18431.419999999998</v>
      </c>
      <c r="S8" s="3">
        <v>16138.38</v>
      </c>
      <c r="T8" s="3">
        <v>42456</v>
      </c>
      <c r="U8" s="3">
        <v>28437.55</v>
      </c>
      <c r="V8" s="3">
        <v>36739.22</v>
      </c>
      <c r="W8" s="3">
        <v>15648.4</v>
      </c>
      <c r="X8" s="3">
        <v>27914.02</v>
      </c>
      <c r="Y8" s="3">
        <v>56465.48</v>
      </c>
      <c r="Z8" s="3">
        <v>28805.98</v>
      </c>
      <c r="AA8" s="3">
        <v>37613.599999999999</v>
      </c>
      <c r="AB8" s="3">
        <v>42287.23</v>
      </c>
      <c r="AC8" s="3">
        <v>44552</v>
      </c>
      <c r="AD8" s="3">
        <v>10149.76</v>
      </c>
      <c r="AE8" s="3">
        <v>31022</v>
      </c>
      <c r="AF8" s="3">
        <v>15634.78</v>
      </c>
      <c r="AG8" s="3">
        <v>28097.91</v>
      </c>
      <c r="AH8" s="3">
        <v>36483.17</v>
      </c>
      <c r="AI8" s="3">
        <v>16153.19</v>
      </c>
      <c r="AJ8" s="14">
        <f>SUM(AK8:BL8)</f>
        <v>1098719.8299999998</v>
      </c>
      <c r="AK8" s="2">
        <v>79117</v>
      </c>
      <c r="AL8" s="2">
        <v>72795.429999999993</v>
      </c>
      <c r="AM8" s="2">
        <v>37977.300000000003</v>
      </c>
      <c r="AN8" s="2">
        <v>30868.74</v>
      </c>
      <c r="AO8" s="2">
        <v>45259</v>
      </c>
      <c r="AP8" s="2">
        <v>47943.18</v>
      </c>
      <c r="AQ8" s="2">
        <v>8959.19</v>
      </c>
      <c r="AR8" s="2">
        <v>32546.06</v>
      </c>
      <c r="AS8" s="2">
        <v>55793.8</v>
      </c>
      <c r="AT8" s="2">
        <v>24989.26</v>
      </c>
      <c r="AU8" s="2">
        <v>5183</v>
      </c>
      <c r="AV8" s="2">
        <v>890.11</v>
      </c>
      <c r="AW8" s="2">
        <v>27026.45</v>
      </c>
      <c r="AX8" s="2">
        <v>46940.480000000003</v>
      </c>
      <c r="AY8" s="2">
        <v>26490.68</v>
      </c>
      <c r="AZ8" s="2">
        <v>22699.33</v>
      </c>
      <c r="BA8" s="2">
        <v>53777.19</v>
      </c>
      <c r="BB8" s="2">
        <v>31946.47</v>
      </c>
      <c r="BC8" s="2">
        <v>21218.639999999999</v>
      </c>
      <c r="BD8" s="2">
        <v>46278.12</v>
      </c>
      <c r="BE8" s="2">
        <v>75671.520000000004</v>
      </c>
      <c r="BF8" s="2">
        <v>64112</v>
      </c>
      <c r="BG8" s="2">
        <v>74472.039999999994</v>
      </c>
      <c r="BH8" s="2">
        <v>28611.51</v>
      </c>
      <c r="BI8" s="2">
        <v>74340.95</v>
      </c>
      <c r="BJ8" s="2">
        <v>30892.240000000002</v>
      </c>
      <c r="BK8" s="2">
        <v>19480.509999999998</v>
      </c>
      <c r="BL8" s="2">
        <v>12439.63</v>
      </c>
      <c r="BM8" s="14">
        <f>SUM(BN8:CR8)</f>
        <v>1071167.8999999999</v>
      </c>
      <c r="BN8" s="2">
        <v>74844.149999999994</v>
      </c>
      <c r="BO8" s="2">
        <v>48809.29</v>
      </c>
      <c r="BP8" s="2">
        <v>6961.64</v>
      </c>
      <c r="BQ8" s="2">
        <v>16377</v>
      </c>
      <c r="BR8" s="2">
        <v>49398.89</v>
      </c>
      <c r="BS8" s="2">
        <v>34945.14</v>
      </c>
      <c r="BT8" s="2">
        <v>29948.97</v>
      </c>
      <c r="BU8" s="2">
        <v>29920.49</v>
      </c>
      <c r="BV8" s="2">
        <v>45548.83</v>
      </c>
      <c r="BW8" s="2">
        <v>24691.9</v>
      </c>
      <c r="BX8" s="2">
        <v>19201</v>
      </c>
      <c r="BY8" s="2">
        <v>13295</v>
      </c>
      <c r="BZ8" s="2">
        <v>19259.39</v>
      </c>
      <c r="CA8" s="2">
        <v>24919.49</v>
      </c>
      <c r="CB8" s="2">
        <v>28852.34</v>
      </c>
      <c r="CC8" s="2">
        <v>34177.72</v>
      </c>
      <c r="CD8" s="2">
        <v>40407.06</v>
      </c>
      <c r="CE8" s="2">
        <v>40491.089999999997</v>
      </c>
      <c r="CF8" s="2">
        <v>16090.07</v>
      </c>
      <c r="CG8" s="2">
        <v>13379</v>
      </c>
      <c r="CH8" s="2">
        <v>18508.46</v>
      </c>
      <c r="CI8" s="2">
        <v>45528.2</v>
      </c>
      <c r="CJ8" s="2">
        <v>16671.21</v>
      </c>
      <c r="CK8" s="2">
        <v>40423.699999999997</v>
      </c>
      <c r="CL8" s="2">
        <v>36422.47</v>
      </c>
      <c r="CM8" s="2">
        <v>30156.36</v>
      </c>
      <c r="CN8" s="2">
        <v>35819.19</v>
      </c>
      <c r="CO8" s="2">
        <v>47468.1</v>
      </c>
      <c r="CP8" s="2">
        <v>48798.3</v>
      </c>
      <c r="CQ8" s="2">
        <v>80784.62</v>
      </c>
      <c r="CR8" s="2">
        <v>59068.83</v>
      </c>
      <c r="CS8" s="14">
        <f>SUM(CT8:DW8)</f>
        <v>1452822.17</v>
      </c>
      <c r="CT8" s="2">
        <v>36581.56</v>
      </c>
      <c r="CU8" s="2">
        <v>67729.8</v>
      </c>
      <c r="CV8" s="2">
        <v>60343.27</v>
      </c>
      <c r="CW8" s="2">
        <v>44547.99</v>
      </c>
      <c r="CX8" s="2">
        <v>39437.730000000003</v>
      </c>
      <c r="CY8" s="2">
        <v>64469.19</v>
      </c>
      <c r="CZ8" s="2">
        <v>46060.13</v>
      </c>
      <c r="DA8" s="2">
        <v>28877.05</v>
      </c>
      <c r="DB8" s="2">
        <v>24739.93</v>
      </c>
      <c r="DC8" s="2">
        <f>40882.27</f>
        <v>40882.269999999997</v>
      </c>
      <c r="DD8" s="2">
        <v>62713.87</v>
      </c>
      <c r="DE8" s="2">
        <v>45608.33</v>
      </c>
      <c r="DF8" s="2">
        <v>54236.18</v>
      </c>
      <c r="DG8" s="2">
        <v>41488.589999999997</v>
      </c>
      <c r="DH8" s="2">
        <v>40348</v>
      </c>
      <c r="DI8" s="2">
        <v>28521.75</v>
      </c>
      <c r="DJ8" s="2">
        <v>19206.14</v>
      </c>
      <c r="DK8" s="2">
        <v>80476</v>
      </c>
      <c r="DL8" s="2">
        <v>49368.71</v>
      </c>
      <c r="DM8" s="2">
        <v>37149.61</v>
      </c>
      <c r="DN8" s="2">
        <v>99304.89</v>
      </c>
      <c r="DO8" s="2">
        <v>39157.040000000001</v>
      </c>
      <c r="DP8" s="2">
        <v>72259.44</v>
      </c>
      <c r="DQ8" s="2">
        <v>18183.740000000002</v>
      </c>
      <c r="DR8" s="2">
        <v>78287.070000000007</v>
      </c>
      <c r="DS8" s="2">
        <v>53261.02</v>
      </c>
      <c r="DT8" s="2">
        <v>22704.639999999999</v>
      </c>
      <c r="DU8" s="2">
        <v>30035.46</v>
      </c>
      <c r="DV8" s="2">
        <v>52218.7</v>
      </c>
      <c r="DW8" s="2">
        <v>74624.070000000007</v>
      </c>
      <c r="DX8" s="14">
        <f>SUM(DY8:FC8)</f>
        <v>1839217.46</v>
      </c>
      <c r="DY8" s="2">
        <v>60639.9</v>
      </c>
      <c r="DZ8" s="2">
        <v>31349.91</v>
      </c>
      <c r="EA8" s="2">
        <v>86031.53</v>
      </c>
      <c r="EB8" s="2">
        <v>129584.76</v>
      </c>
      <c r="EC8" s="2">
        <v>98518.11</v>
      </c>
      <c r="ED8" s="2">
        <v>72379.929999999993</v>
      </c>
      <c r="EE8" s="2">
        <v>62518.07</v>
      </c>
      <c r="EF8" s="2">
        <v>39873.14</v>
      </c>
      <c r="EG8" s="2">
        <v>9941.83</v>
      </c>
      <c r="EH8" s="2">
        <v>100520.88</v>
      </c>
      <c r="EI8" s="2">
        <v>63296.07</v>
      </c>
      <c r="EJ8" s="2">
        <v>50344</v>
      </c>
      <c r="EK8" s="2">
        <v>46028.39</v>
      </c>
      <c r="EL8" s="2">
        <v>38042.449999999997</v>
      </c>
      <c r="EM8" s="2">
        <v>46843.199999999997</v>
      </c>
      <c r="EN8" s="2">
        <v>56528.58</v>
      </c>
      <c r="EO8" s="2">
        <v>65557.7</v>
      </c>
      <c r="EP8" s="2">
        <v>98355.77</v>
      </c>
      <c r="EQ8" s="2">
        <v>57884.3</v>
      </c>
      <c r="ER8" s="2">
        <v>59357.86</v>
      </c>
      <c r="ES8" s="2">
        <v>27488.86</v>
      </c>
      <c r="ET8" s="2">
        <v>57511</v>
      </c>
      <c r="EU8" s="2">
        <v>58362.14</v>
      </c>
      <c r="EV8" s="2">
        <v>75853.19</v>
      </c>
      <c r="EW8" s="2">
        <v>63338</v>
      </c>
      <c r="EX8" s="2">
        <v>34714.32</v>
      </c>
      <c r="EY8" s="2">
        <v>17113</v>
      </c>
      <c r="EZ8" s="2">
        <v>21881</v>
      </c>
      <c r="FA8" s="2">
        <v>24017.53</v>
      </c>
      <c r="FB8" s="2">
        <v>52566.6</v>
      </c>
      <c r="FC8" s="2">
        <v>132775.44</v>
      </c>
      <c r="FD8" s="14">
        <f>SUM(FE8:GH8)</f>
        <v>0</v>
      </c>
      <c r="GI8" s="14">
        <f>SUM(GJ8:HN8)</f>
        <v>0</v>
      </c>
      <c r="HO8" s="14">
        <f>SUM(HP8:IT8)</f>
        <v>0</v>
      </c>
      <c r="IU8" s="14">
        <f>SUM(IV8:JY8)</f>
        <v>0</v>
      </c>
      <c r="JZ8" s="14">
        <f>SUM(KA8:LE8)</f>
        <v>0</v>
      </c>
      <c r="LF8" s="14">
        <f>SUM(LG8:MJ8)</f>
        <v>0</v>
      </c>
      <c r="MK8" s="14">
        <f>SUM(ML8:NP8)</f>
        <v>0</v>
      </c>
    </row>
    <row r="9" spans="1:380" s="2" customFormat="1" x14ac:dyDescent="0.2">
      <c r="A9" s="1"/>
      <c r="B9" s="24" t="s">
        <v>64</v>
      </c>
      <c r="C9" s="14">
        <f>D9+AJ9+BM9+CS9+DX9+FD9+GI9+HO9+IU9+JZ9+LF9+MK9</f>
        <v>6842281.7199999997</v>
      </c>
      <c r="D9" s="14">
        <f>SUM(E9:AI9)</f>
        <v>734024.5</v>
      </c>
      <c r="G9" s="3"/>
      <c r="P9" s="3">
        <f>27101+291404</f>
        <v>318505</v>
      </c>
      <c r="Q9" s="3">
        <f>4338+5725</f>
        <v>10063</v>
      </c>
      <c r="R9" s="3">
        <f>9059+17823</f>
        <v>26882</v>
      </c>
      <c r="S9" s="3">
        <f>7207+13715</f>
        <v>20922</v>
      </c>
      <c r="T9" s="3">
        <f>1610+7562</f>
        <v>9172</v>
      </c>
      <c r="W9" s="3">
        <f>4166+5525+22117+99412</f>
        <v>131220</v>
      </c>
      <c r="X9" s="3">
        <f>7155+11099</f>
        <v>18254</v>
      </c>
      <c r="Y9" s="3">
        <v>5302</v>
      </c>
      <c r="Z9" s="3">
        <f>21270+218</f>
        <v>21488</v>
      </c>
      <c r="AA9" s="3">
        <f>11730+20197</f>
        <v>31927</v>
      </c>
      <c r="AD9" s="3">
        <f>544+1442+1535+72535</f>
        <v>76056</v>
      </c>
      <c r="AE9" s="3">
        <f>690+17465</f>
        <v>18155</v>
      </c>
      <c r="AF9" s="3">
        <f>4768+55</f>
        <v>4823</v>
      </c>
      <c r="AG9" s="3">
        <f>1480+3166</f>
        <v>4646</v>
      </c>
      <c r="AH9" s="3">
        <f>36388+221+0.5</f>
        <v>36609.5</v>
      </c>
      <c r="AJ9" s="14">
        <f>SUM(AK9:BL9)</f>
        <v>643994.22</v>
      </c>
      <c r="AL9" s="2">
        <f>38640+10207+9807+285</f>
        <v>58939</v>
      </c>
      <c r="AM9" s="2">
        <f>30631+1244</f>
        <v>31875</v>
      </c>
      <c r="AN9" s="2">
        <f>12700+25424</f>
        <v>38124</v>
      </c>
      <c r="AO9" s="2">
        <f>4050+1284+0.22</f>
        <v>5334.22</v>
      </c>
      <c r="AP9" s="2">
        <f>11693+14024</f>
        <v>25717</v>
      </c>
      <c r="AS9" s="2">
        <f>99997+7791+6581+1493</f>
        <v>115862</v>
      </c>
      <c r="AT9" s="2">
        <f>506+1466</f>
        <v>1972</v>
      </c>
      <c r="AU9" s="2">
        <v>2104</v>
      </c>
      <c r="AV9" s="2">
        <v>18365</v>
      </c>
      <c r="AW9" s="2">
        <f>1707+5724</f>
        <v>7431</v>
      </c>
      <c r="AZ9" s="2">
        <f>47938+12010</f>
        <v>59948</v>
      </c>
      <c r="BA9" s="2">
        <f>42+5256</f>
        <v>5298</v>
      </c>
      <c r="BB9" s="2">
        <v>22423</v>
      </c>
      <c r="BC9" s="2">
        <f>97676+4567</f>
        <v>102243</v>
      </c>
      <c r="BD9" s="2">
        <f>1120+37009</f>
        <v>38129</v>
      </c>
      <c r="BH9" s="2">
        <f>50192+2385</f>
        <v>52577</v>
      </c>
      <c r="BI9" s="2">
        <f>8102+4996</f>
        <v>13098</v>
      </c>
      <c r="BJ9" s="2">
        <v>9538</v>
      </c>
      <c r="BK9" s="2">
        <f>447+34570</f>
        <v>35017</v>
      </c>
      <c r="BM9" s="14">
        <f>SUM(BN9:CR9)</f>
        <v>1508004</v>
      </c>
      <c r="BN9" s="2">
        <f>85903+21909</f>
        <v>107812</v>
      </c>
      <c r="BO9" s="2">
        <v>5635</v>
      </c>
      <c r="BP9" s="2">
        <f>188+37380</f>
        <v>37568</v>
      </c>
      <c r="BQ9" s="2">
        <f>3207+40631</f>
        <v>43838</v>
      </c>
      <c r="BR9" s="2">
        <f>252+364+7128</f>
        <v>7744</v>
      </c>
      <c r="BS9" s="2">
        <f>39883+3353</f>
        <v>43236</v>
      </c>
      <c r="BV9" s="2">
        <f>140898+11647</f>
        <v>152545</v>
      </c>
      <c r="BW9" s="2">
        <f>17102</f>
        <v>17102</v>
      </c>
      <c r="BX9" s="2">
        <f>13123+32746</f>
        <v>45869</v>
      </c>
      <c r="BY9" s="2">
        <f>2942+19067</f>
        <v>22009</v>
      </c>
      <c r="BZ9" s="2">
        <f>35565+8097</f>
        <v>43662</v>
      </c>
      <c r="CC9" s="2">
        <f>33788+165319</f>
        <v>199107</v>
      </c>
      <c r="CD9" s="2">
        <f>3431+20255</f>
        <v>23686</v>
      </c>
      <c r="CE9" s="2">
        <f>30405+3870+3</f>
        <v>34278</v>
      </c>
      <c r="CF9" s="2">
        <f>56762+16315+398</f>
        <v>73475</v>
      </c>
      <c r="CJ9" s="2">
        <f>35171+124197+4011</f>
        <v>163379</v>
      </c>
      <c r="CK9" s="2">
        <f>11667+36971+5996</f>
        <v>54634</v>
      </c>
      <c r="CL9" s="2">
        <f>37448+9239+786+4322</f>
        <v>51795</v>
      </c>
      <c r="CM9" s="2">
        <f>29418+46142+3907</f>
        <v>79467</v>
      </c>
      <c r="CN9" s="2">
        <f>744+35785+2713</f>
        <v>39242</v>
      </c>
      <c r="CQ9" s="2">
        <f>23850+136364+12607+21963</f>
        <v>194784</v>
      </c>
      <c r="CR9" s="2">
        <f>12830+49484+193+4630</f>
        <v>67137</v>
      </c>
      <c r="CS9" s="14">
        <f>SUM(CT9:DW9)</f>
        <v>1870615</v>
      </c>
      <c r="CT9" s="2">
        <f>1606+10565+6601+42473</f>
        <v>61245</v>
      </c>
      <c r="CU9" s="2">
        <f>12809+7467+37593</f>
        <v>57869</v>
      </c>
      <c r="CV9" s="2">
        <f>11538+3218+2968+60179</f>
        <v>77903</v>
      </c>
      <c r="CY9" s="2">
        <f>385+15366+30423+123651</f>
        <v>169825</v>
      </c>
      <c r="CZ9" s="2">
        <f>5438+4209+2735+29598</f>
        <v>41980</v>
      </c>
      <c r="DA9" s="2">
        <f>1133+4703+1670+33654</f>
        <v>41160</v>
      </c>
      <c r="DB9" s="2">
        <f>802+34913+754</f>
        <v>36469</v>
      </c>
      <c r="DC9" s="2">
        <f>21284+51934+1426+10720</f>
        <v>85364</v>
      </c>
      <c r="DF9" s="2">
        <f>51289+229043+41342</f>
        <v>321674</v>
      </c>
      <c r="DG9" s="2">
        <f>5612+38093+266+12167</f>
        <v>56138</v>
      </c>
      <c r="DH9" s="2">
        <f>3542+43551+3990+8497</f>
        <v>59580</v>
      </c>
      <c r="DI9" s="2">
        <f>7211+47880+1447+7275</f>
        <v>63813</v>
      </c>
      <c r="DJ9" s="2">
        <f>5049+31349+1105</f>
        <v>37503</v>
      </c>
      <c r="DM9" s="2">
        <f>12470+143333+2652+28366</f>
        <v>186821</v>
      </c>
      <c r="DN9" s="2">
        <f>7822+19818+10709</f>
        <v>38349</v>
      </c>
      <c r="DO9" s="2">
        <f>1758+7163+3468+51801</f>
        <v>64190</v>
      </c>
      <c r="DP9" s="2">
        <f>5860+2793+33006</f>
        <v>41659</v>
      </c>
      <c r="DQ9" s="2">
        <f>12283+5266+38148</f>
        <v>55697</v>
      </c>
      <c r="DT9" s="2">
        <f>770+30601+25631+155249</f>
        <v>212251</v>
      </c>
      <c r="DU9" s="2">
        <f>25232+36740+625+1519</f>
        <v>64116</v>
      </c>
      <c r="DV9" s="2">
        <f>3552+4896+52387</f>
        <v>60835</v>
      </c>
      <c r="DW9" s="2">
        <f>5134+4708+26332</f>
        <v>36174</v>
      </c>
      <c r="DX9" s="14">
        <f>SUM(DY9:FC9)</f>
        <v>2085644</v>
      </c>
      <c r="EI9" s="2">
        <f>177830+924151+27568+139011</f>
        <v>1268560</v>
      </c>
      <c r="EJ9" s="2">
        <f>1614+49299+986+2198</f>
        <v>54097</v>
      </c>
      <c r="EK9" s="2">
        <f>2622+30431+14548</f>
        <v>47601</v>
      </c>
      <c r="EL9" s="2">
        <f>22299+31622+207+13358</f>
        <v>67486</v>
      </c>
      <c r="EM9" s="2">
        <f>9736+33896+1898</f>
        <v>45530</v>
      </c>
      <c r="EP9" s="2">
        <f>31699+5533+25949</f>
        <v>63181</v>
      </c>
      <c r="EQ9" s="2">
        <f>1106+19403+13445</f>
        <v>33954</v>
      </c>
      <c r="ER9" s="2">
        <f>1945+40240+277+7812</f>
        <v>50274</v>
      </c>
      <c r="ES9" s="2">
        <f>2312+43091+185+31696</f>
        <v>77284</v>
      </c>
      <c r="ET9" s="2">
        <f>2361+56199+4413</f>
        <v>62973</v>
      </c>
      <c r="EW9" s="2">
        <f>3532+73079+18827+38072</f>
        <v>133510</v>
      </c>
      <c r="EX9" s="2">
        <f>2080+7871+1180</f>
        <v>11131</v>
      </c>
      <c r="EZ9" s="2">
        <f>29993+40036+705+26244</f>
        <v>96978</v>
      </c>
      <c r="FA9" s="2">
        <f>3737+58472+3320+7556</f>
        <v>73085</v>
      </c>
      <c r="FD9" s="14">
        <f>SUM(FE9:GH9)</f>
        <v>0</v>
      </c>
      <c r="GI9" s="14">
        <f>SUM(GJ9:HN9)</f>
        <v>0</v>
      </c>
      <c r="HO9" s="14">
        <f>SUM(HP9:IT9)</f>
        <v>0</v>
      </c>
      <c r="IU9" s="14">
        <f>SUM(IV9:JY9)</f>
        <v>0</v>
      </c>
      <c r="JZ9" s="14">
        <f>SUM(KA9:LE9)</f>
        <v>0</v>
      </c>
      <c r="LF9" s="14">
        <f>SUM(LG9:MJ9)</f>
        <v>0</v>
      </c>
      <c r="MK9" s="14">
        <f>SUM(ML9:NP9)</f>
        <v>0</v>
      </c>
    </row>
    <row r="10" spans="1:380" s="2" customFormat="1" x14ac:dyDescent="0.2">
      <c r="A10" s="1"/>
      <c r="B10" s="24" t="s">
        <v>67</v>
      </c>
      <c r="C10" s="14">
        <f>D10+AJ10+BM10+CS10+DX10+FD10+GI10+HO10+IU10+JZ10+LF10+MK10</f>
        <v>6145241.6299999999</v>
      </c>
      <c r="D10" s="14">
        <f>SUM(E10:AI10)</f>
        <v>949126.68</v>
      </c>
      <c r="F10" s="2">
        <v>50685.89</v>
      </c>
      <c r="G10" s="3">
        <v>22680.79</v>
      </c>
      <c r="H10" s="2">
        <v>48232.88</v>
      </c>
      <c r="I10" s="2">
        <v>29930.02</v>
      </c>
      <c r="J10" s="2">
        <v>38734.89</v>
      </c>
      <c r="K10" s="2">
        <v>28755.279999999999</v>
      </c>
      <c r="L10" s="2">
        <v>20094.740000000002</v>
      </c>
      <c r="M10" s="2">
        <v>35364</v>
      </c>
      <c r="N10" s="2">
        <v>47513.07</v>
      </c>
      <c r="O10" s="2">
        <v>14497.88</v>
      </c>
      <c r="P10" s="3">
        <v>53001</v>
      </c>
      <c r="Q10" s="3">
        <v>64143.05</v>
      </c>
      <c r="R10" s="3">
        <v>36876.15</v>
      </c>
      <c r="S10" s="3">
        <v>46747.02</v>
      </c>
      <c r="T10" s="3">
        <v>39096</v>
      </c>
      <c r="U10" s="2">
        <v>27803.19</v>
      </c>
      <c r="V10" s="2">
        <v>44932.42</v>
      </c>
      <c r="W10" s="3">
        <v>28583.57</v>
      </c>
      <c r="X10" s="3">
        <v>14775</v>
      </c>
      <c r="Y10" s="3">
        <v>10757.4</v>
      </c>
      <c r="Z10" s="3">
        <v>26935</v>
      </c>
      <c r="AA10" s="3">
        <v>19048.099999999999</v>
      </c>
      <c r="AB10" s="2">
        <v>23508</v>
      </c>
      <c r="AC10" s="2">
        <v>43164.44</v>
      </c>
      <c r="AD10" s="3">
        <v>38258.99</v>
      </c>
      <c r="AE10" s="3">
        <v>25400.04</v>
      </c>
      <c r="AF10" s="3">
        <v>13752</v>
      </c>
      <c r="AG10" s="3">
        <v>14774.27</v>
      </c>
      <c r="AH10" s="3">
        <v>19730.27</v>
      </c>
      <c r="AI10" s="2">
        <v>21351.33</v>
      </c>
      <c r="AJ10" s="14">
        <f>SUM(AK10:BL10)</f>
        <v>937578.51000000013</v>
      </c>
      <c r="AK10" s="2">
        <v>31223.24</v>
      </c>
      <c r="AL10" s="2">
        <v>17004.189999999999</v>
      </c>
      <c r="AM10" s="2">
        <v>40590.839999999997</v>
      </c>
      <c r="AN10" s="2">
        <v>29134.79</v>
      </c>
      <c r="AO10" s="2">
        <v>38902</v>
      </c>
      <c r="AP10" s="2">
        <v>42647.12</v>
      </c>
      <c r="AQ10" s="2">
        <v>12666.4</v>
      </c>
      <c r="AR10" s="2">
        <v>32219.65</v>
      </c>
      <c r="AS10" s="2">
        <v>24806.44</v>
      </c>
      <c r="AT10" s="2">
        <v>18353.2</v>
      </c>
      <c r="AV10" s="2">
        <v>16771</v>
      </c>
      <c r="AW10" s="2">
        <v>26061.439999999999</v>
      </c>
      <c r="AX10" s="2">
        <v>15642</v>
      </c>
      <c r="AY10" s="2">
        <v>21639.02</v>
      </c>
      <c r="AZ10" s="2">
        <v>33652.5</v>
      </c>
      <c r="BA10" s="2">
        <v>18231.669999999998</v>
      </c>
      <c r="BB10" s="2">
        <v>50878.53</v>
      </c>
      <c r="BC10" s="2">
        <v>72303.28</v>
      </c>
      <c r="BD10" s="2">
        <v>51016.03</v>
      </c>
      <c r="BE10" s="2">
        <v>103482.37</v>
      </c>
      <c r="BF10" s="2">
        <v>48056.78</v>
      </c>
      <c r="BG10" s="2">
        <v>33654.99</v>
      </c>
      <c r="BH10" s="2">
        <v>29205.3</v>
      </c>
      <c r="BI10" s="2">
        <v>53598</v>
      </c>
      <c r="BJ10" s="2">
        <v>13885</v>
      </c>
      <c r="BK10" s="2">
        <v>35824.230000000003</v>
      </c>
      <c r="BL10" s="2">
        <v>26128.5</v>
      </c>
      <c r="BM10" s="14">
        <f>SUM(BN10:CR10)</f>
        <v>1127234.6299999999</v>
      </c>
      <c r="BN10" s="2">
        <v>25009.61</v>
      </c>
      <c r="BO10" s="2">
        <v>51942.3</v>
      </c>
      <c r="BP10" s="2">
        <v>15859</v>
      </c>
      <c r="BQ10" s="2">
        <v>40803.26</v>
      </c>
      <c r="BR10" s="2">
        <v>36447</v>
      </c>
      <c r="BS10" s="2">
        <v>43842.66</v>
      </c>
      <c r="BT10" s="2">
        <v>29869.33</v>
      </c>
      <c r="BU10" s="2">
        <v>29186.18</v>
      </c>
      <c r="BV10" s="2">
        <v>32965</v>
      </c>
      <c r="BW10" s="2">
        <v>43875.51</v>
      </c>
      <c r="BX10" s="2">
        <v>20664.78</v>
      </c>
      <c r="BY10" s="2">
        <v>19316.36</v>
      </c>
      <c r="BZ10" s="2">
        <v>15772.77</v>
      </c>
      <c r="CA10" s="2">
        <v>39313</v>
      </c>
      <c r="CB10" s="2">
        <v>37196</v>
      </c>
      <c r="CC10" s="2">
        <v>43891</v>
      </c>
      <c r="CD10" s="2">
        <v>43185.34</v>
      </c>
      <c r="CE10" s="2">
        <v>46546.06</v>
      </c>
      <c r="CF10" s="2">
        <v>33242.46</v>
      </c>
      <c r="CH10" s="2">
        <v>32777</v>
      </c>
      <c r="CI10" s="2">
        <v>57110.37</v>
      </c>
      <c r="CJ10" s="2">
        <v>36005.550000000003</v>
      </c>
      <c r="CK10" s="2">
        <v>46713.81</v>
      </c>
      <c r="CL10" s="2">
        <v>29935.55</v>
      </c>
      <c r="CM10" s="2">
        <v>14121.31</v>
      </c>
      <c r="CN10" s="2">
        <v>38828.29</v>
      </c>
      <c r="CO10" s="2">
        <v>80746.45</v>
      </c>
      <c r="CP10" s="2">
        <v>74849.69</v>
      </c>
      <c r="CQ10" s="2">
        <v>37934.49</v>
      </c>
      <c r="CR10" s="2">
        <v>29284.5</v>
      </c>
      <c r="CS10" s="14">
        <f>SUM(CT10:DW10)</f>
        <v>1523725.0099999998</v>
      </c>
      <c r="CT10" s="2">
        <v>63468.37</v>
      </c>
      <c r="CU10" s="2">
        <v>33368.080000000002</v>
      </c>
      <c r="CV10" s="2">
        <v>29379.91</v>
      </c>
      <c r="CW10" s="2">
        <v>55801.29</v>
      </c>
      <c r="CX10" s="2">
        <v>44860.23</v>
      </c>
      <c r="CY10" s="2">
        <v>48276.01</v>
      </c>
      <c r="CZ10" s="2">
        <v>63079.5</v>
      </c>
      <c r="DA10" s="2">
        <v>43292.56</v>
      </c>
      <c r="DB10" s="2">
        <v>41188.769999999997</v>
      </c>
      <c r="DC10" s="2">
        <v>21194</v>
      </c>
      <c r="DD10" s="2">
        <v>40353.83</v>
      </c>
      <c r="DE10" s="2">
        <v>68437.320000000007</v>
      </c>
      <c r="DF10" s="2">
        <v>69679.7</v>
      </c>
      <c r="DG10" s="2">
        <v>32759.52</v>
      </c>
      <c r="DH10" s="2">
        <v>56056.94</v>
      </c>
      <c r="DI10" s="2">
        <v>54316.23</v>
      </c>
      <c r="DJ10" s="2">
        <v>31624</v>
      </c>
      <c r="DK10" s="2">
        <v>64992.82</v>
      </c>
      <c r="DL10" s="2">
        <v>27120</v>
      </c>
      <c r="DM10" s="2">
        <v>53277.86</v>
      </c>
      <c r="DN10" s="2">
        <v>69727.94</v>
      </c>
      <c r="DO10" s="2">
        <v>56005.2</v>
      </c>
      <c r="DP10" s="2">
        <v>49114.400000000001</v>
      </c>
      <c r="DQ10" s="2">
        <v>42974.559999999998</v>
      </c>
      <c r="DR10" s="2">
        <v>19453.849999999999</v>
      </c>
      <c r="DS10" s="2">
        <v>87126.2</v>
      </c>
      <c r="DT10" s="2">
        <v>97399.7</v>
      </c>
      <c r="DU10" s="2">
        <v>38059.49</v>
      </c>
      <c r="DV10" s="2">
        <v>66631.05</v>
      </c>
      <c r="DW10" s="2">
        <v>54705.68</v>
      </c>
      <c r="DX10" s="14">
        <f>SUM(DY10:FC10)</f>
        <v>1607576.8</v>
      </c>
      <c r="DY10" s="2">
        <v>83282.48</v>
      </c>
      <c r="DZ10" s="2">
        <v>53773.01</v>
      </c>
      <c r="EA10" s="2">
        <v>76484.039999999994</v>
      </c>
      <c r="EB10" s="2">
        <v>60800.17</v>
      </c>
      <c r="EC10" s="2">
        <v>55244.54</v>
      </c>
      <c r="ED10" s="2">
        <v>68335.259999999995</v>
      </c>
      <c r="EE10" s="2">
        <v>83540.88</v>
      </c>
      <c r="EF10" s="2">
        <v>48433.8</v>
      </c>
      <c r="EG10" s="2">
        <v>62571.8</v>
      </c>
      <c r="EH10" s="2">
        <v>35586.910000000003</v>
      </c>
      <c r="EI10" s="2">
        <v>64083.71</v>
      </c>
      <c r="EJ10" s="2">
        <v>44265.98</v>
      </c>
      <c r="EK10" s="2">
        <v>37410.21</v>
      </c>
      <c r="EL10" s="2">
        <v>35847.99</v>
      </c>
      <c r="EM10" s="2">
        <v>67740.78</v>
      </c>
      <c r="EN10" s="2">
        <v>36435.74</v>
      </c>
      <c r="EO10" s="2">
        <v>121814.82</v>
      </c>
      <c r="EP10" s="2">
        <v>108663.34</v>
      </c>
      <c r="EQ10" s="2">
        <v>35403.29</v>
      </c>
      <c r="ER10" s="2">
        <v>49264.53</v>
      </c>
      <c r="ES10" s="2">
        <v>50413.22</v>
      </c>
      <c r="ET10" s="2">
        <v>32359.27</v>
      </c>
      <c r="EU10" s="2">
        <v>18805.8</v>
      </c>
      <c r="EV10" s="2">
        <v>61907.63</v>
      </c>
      <c r="EW10" s="2">
        <v>46323.73</v>
      </c>
      <c r="EX10" s="2">
        <v>25144.240000000002</v>
      </c>
      <c r="EZ10" s="2">
        <v>41807.120000000003</v>
      </c>
      <c r="FA10" s="2">
        <v>29929.34</v>
      </c>
      <c r="FB10" s="2">
        <v>49987.16</v>
      </c>
      <c r="FC10" s="2">
        <v>21916.01</v>
      </c>
      <c r="FD10" s="14">
        <f>SUM(FE10:GH10)</f>
        <v>0</v>
      </c>
      <c r="GI10" s="14">
        <f>SUM(GJ10:HN10)</f>
        <v>0</v>
      </c>
      <c r="HO10" s="14">
        <f>SUM(HP10:IT10)</f>
        <v>0</v>
      </c>
      <c r="IU10" s="14">
        <f>SUM(IV10:JY10)</f>
        <v>0</v>
      </c>
      <c r="JZ10" s="14">
        <f>SUM(KA10:LE10)</f>
        <v>0</v>
      </c>
      <c r="LF10" s="14">
        <f>SUM(LG10:MJ10)</f>
        <v>0</v>
      </c>
      <c r="MK10" s="14">
        <f>SUM(ML10:NP10)</f>
        <v>0</v>
      </c>
    </row>
    <row r="11" spans="1:380" s="2" customFormat="1" x14ac:dyDescent="0.2">
      <c r="A11" s="1"/>
      <c r="B11" s="24" t="s">
        <v>68</v>
      </c>
      <c r="C11" s="14">
        <f>D11+AJ11+BM11+CS11+DX11+FD11+GI11+HO11+IU11+JZ11+LF11+MK11</f>
        <v>615553.03</v>
      </c>
      <c r="D11" s="14">
        <f>SUM(E11:AI11)</f>
        <v>0</v>
      </c>
      <c r="G11" s="3"/>
      <c r="P11" s="3"/>
      <c r="Q11" s="3"/>
      <c r="R11" s="3"/>
      <c r="S11" s="3"/>
      <c r="T11" s="3"/>
      <c r="W11" s="3"/>
      <c r="X11" s="3"/>
      <c r="Y11" s="3"/>
      <c r="Z11" s="3"/>
      <c r="AA11" s="3"/>
      <c r="AD11" s="3"/>
      <c r="AE11" s="3"/>
      <c r="AF11" s="3"/>
      <c r="AG11" s="3"/>
      <c r="AH11" s="3"/>
      <c r="AJ11" s="14">
        <f>SUM(AK11:BL11)</f>
        <v>0</v>
      </c>
      <c r="BM11" s="14">
        <f>SUM(BN11:CR11)</f>
        <v>79597</v>
      </c>
      <c r="CE11" s="2">
        <v>8</v>
      </c>
      <c r="CI11" s="2">
        <v>1033</v>
      </c>
      <c r="CJ11" s="2">
        <v>10260</v>
      </c>
      <c r="CM11" s="2">
        <v>20347</v>
      </c>
      <c r="CN11" s="2">
        <v>9985</v>
      </c>
      <c r="CO11" s="2">
        <v>3348</v>
      </c>
      <c r="CP11" s="2">
        <v>13015</v>
      </c>
      <c r="CQ11" s="2">
        <v>7165</v>
      </c>
      <c r="CR11" s="2">
        <v>14436</v>
      </c>
      <c r="CS11" s="14">
        <f>SUM(CT11:DW11)</f>
        <v>270890.41000000003</v>
      </c>
      <c r="CT11" s="2">
        <v>7645</v>
      </c>
      <c r="CU11" s="2">
        <v>5323</v>
      </c>
      <c r="CV11" s="2">
        <v>5092</v>
      </c>
      <c r="CW11" s="2">
        <v>15042</v>
      </c>
      <c r="CX11" s="2">
        <v>3580</v>
      </c>
      <c r="CY11" s="2">
        <v>4892</v>
      </c>
      <c r="CZ11" s="2">
        <v>10069</v>
      </c>
      <c r="DA11" s="2">
        <v>5511</v>
      </c>
      <c r="DB11" s="2">
        <v>16016</v>
      </c>
      <c r="DC11" s="2">
        <v>14817</v>
      </c>
      <c r="DD11" s="2">
        <v>10141</v>
      </c>
      <c r="DE11" s="2">
        <v>3676</v>
      </c>
      <c r="DF11" s="2">
        <v>6619</v>
      </c>
      <c r="DG11" s="2">
        <v>17171</v>
      </c>
      <c r="DH11" s="2">
        <v>606</v>
      </c>
      <c r="DI11" s="2">
        <v>5977</v>
      </c>
      <c r="DJ11" s="2">
        <v>14256</v>
      </c>
      <c r="DK11" s="2">
        <v>8056</v>
      </c>
      <c r="DL11" s="2">
        <v>12071</v>
      </c>
      <c r="DM11" s="2">
        <v>11609</v>
      </c>
      <c r="DN11" s="2">
        <v>9700</v>
      </c>
      <c r="DO11" s="2">
        <v>4170</v>
      </c>
      <c r="DP11" s="2">
        <v>3365</v>
      </c>
      <c r="DQ11" s="2">
        <v>5527</v>
      </c>
      <c r="DR11" s="2">
        <v>15047</v>
      </c>
      <c r="DS11" s="2">
        <v>16318</v>
      </c>
      <c r="DT11" s="2">
        <v>16157</v>
      </c>
      <c r="DU11" s="2">
        <v>4071</v>
      </c>
      <c r="DV11" s="2">
        <v>4985.41</v>
      </c>
      <c r="DW11" s="2">
        <v>13381</v>
      </c>
      <c r="DX11" s="14">
        <f>SUM(DY11:FC11)</f>
        <v>265065.62</v>
      </c>
      <c r="DY11" s="2">
        <v>12626</v>
      </c>
      <c r="DZ11" s="2">
        <v>20178</v>
      </c>
      <c r="EA11" s="2">
        <v>25835</v>
      </c>
      <c r="EB11" s="2">
        <v>15835.03</v>
      </c>
      <c r="EC11" s="2">
        <v>1608</v>
      </c>
      <c r="ED11" s="2">
        <v>5337</v>
      </c>
      <c r="EE11" s="2">
        <v>12564</v>
      </c>
      <c r="EF11" s="2">
        <v>10362</v>
      </c>
      <c r="EG11" s="2">
        <v>14088</v>
      </c>
      <c r="EH11" s="2">
        <v>5596.5</v>
      </c>
      <c r="EI11" s="2">
        <v>2455</v>
      </c>
      <c r="EJ11" s="2">
        <v>3686</v>
      </c>
      <c r="EK11" s="2">
        <v>22650.09</v>
      </c>
      <c r="EL11" s="2">
        <v>7966</v>
      </c>
      <c r="EM11" s="2">
        <v>10125</v>
      </c>
      <c r="EN11" s="2">
        <v>3316</v>
      </c>
      <c r="EO11" s="2">
        <v>17096</v>
      </c>
      <c r="EP11" s="2">
        <v>2485</v>
      </c>
      <c r="EQ11" s="2">
        <v>6300</v>
      </c>
      <c r="ER11" s="2">
        <v>5406</v>
      </c>
      <c r="ES11" s="2">
        <v>3767</v>
      </c>
      <c r="EU11" s="2">
        <v>11687</v>
      </c>
      <c r="EW11" s="2">
        <v>20104</v>
      </c>
      <c r="EX11" s="2">
        <v>13887</v>
      </c>
      <c r="EZ11" s="2">
        <v>3516</v>
      </c>
      <c r="FA11" s="2">
        <v>2705</v>
      </c>
      <c r="FB11" s="2">
        <v>2493</v>
      </c>
      <c r="FC11" s="2">
        <v>1392</v>
      </c>
      <c r="FD11" s="14">
        <f>SUM(FE11:GH11)</f>
        <v>0</v>
      </c>
      <c r="GI11" s="14">
        <f>SUM(GJ11:HN11)</f>
        <v>0</v>
      </c>
      <c r="HO11" s="14">
        <f>SUM(HP11:IT11)</f>
        <v>0</v>
      </c>
      <c r="IU11" s="14">
        <f>SUM(IV11:JY11)</f>
        <v>0</v>
      </c>
      <c r="JZ11" s="14">
        <f>SUM(KA11:LE11)</f>
        <v>0</v>
      </c>
      <c r="LF11" s="14">
        <f>SUM(LG11:MJ11)</f>
        <v>0</v>
      </c>
      <c r="MK11" s="14">
        <f>SUM(ML11:NP11)</f>
        <v>0</v>
      </c>
    </row>
    <row r="12" spans="1:380" x14ac:dyDescent="0.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S12" s="1"/>
      <c r="DX12" s="1"/>
      <c r="FD12" s="1"/>
      <c r="GI12" s="1"/>
      <c r="HO12" s="1"/>
      <c r="IU12" s="1"/>
      <c r="JE12" s="1"/>
      <c r="JZ12" s="1"/>
      <c r="LF12" s="1"/>
      <c r="MK12" s="1"/>
    </row>
    <row r="13" spans="1:380" x14ac:dyDescent="0.2">
      <c r="B13" s="20" t="s">
        <v>74</v>
      </c>
      <c r="C13" s="9">
        <f>SUM(C14:C15)</f>
        <v>6166740.0899999999</v>
      </c>
      <c r="D13" s="9">
        <f>SUM(D14:D15)</f>
        <v>776585.39999999991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9">
        <f>SUM(AJ14:AJ15)</f>
        <v>645280.69999999995</v>
      </c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9">
        <f>SUM(BM14:BM15)</f>
        <v>1890097.9</v>
      </c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9">
        <f>SUM(CS14:CS15)</f>
        <v>1102775.3500000001</v>
      </c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9">
        <f>SUM(DX14:DX15)</f>
        <v>1752000.74</v>
      </c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9">
        <f>SUM(FD14:FD15)</f>
        <v>0</v>
      </c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>
        <f>SUM(GI14:GI15)</f>
        <v>0</v>
      </c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>
        <f>SUM(HO14:HO15)</f>
        <v>0</v>
      </c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>
        <f>SUM(IU14:IU15)</f>
        <v>0</v>
      </c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>
        <f>SUM(JZ14:JZ15)</f>
        <v>0</v>
      </c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>
        <f>SUM(LF14:LF15)</f>
        <v>0</v>
      </c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>
        <f>SUM(MK14:MK15)</f>
        <v>0</v>
      </c>
    </row>
    <row r="14" spans="1:380" s="2" customFormat="1" x14ac:dyDescent="0.2">
      <c r="A14" s="1"/>
      <c r="B14" s="24" t="s">
        <v>66</v>
      </c>
      <c r="C14" s="14">
        <f>D14+AJ14+BM14+CS14+DX14+FD14+GI14+HO14+IU14+JZ14+LF14+MK14</f>
        <v>6051753.0899999999</v>
      </c>
      <c r="D14" s="14">
        <f>SUM(E14:AI14)</f>
        <v>766665.39999999991</v>
      </c>
      <c r="G14" s="3"/>
      <c r="P14" s="3"/>
      <c r="Q14" s="3"/>
      <c r="R14" s="3">
        <f>12032</f>
        <v>12032</v>
      </c>
      <c r="S14" s="3">
        <v>26726.35</v>
      </c>
      <c r="T14" s="3">
        <f>1521.9+13386</f>
        <v>14907.9</v>
      </c>
      <c r="W14" s="3">
        <v>1175.4000000000001</v>
      </c>
      <c r="X14" s="3">
        <f>13200+6225+2875.5</f>
        <v>22300.5</v>
      </c>
      <c r="Y14" s="3">
        <f>455</f>
        <v>455</v>
      </c>
      <c r="Z14" s="3"/>
      <c r="AA14" s="3">
        <v>16000</v>
      </c>
      <c r="AD14" s="3">
        <v>1974.6</v>
      </c>
      <c r="AE14" s="3">
        <v>7802</v>
      </c>
      <c r="AF14" s="3">
        <f>2068.2+733</f>
        <v>2801.2</v>
      </c>
      <c r="AG14" s="3">
        <f>845+1124</f>
        <v>1969</v>
      </c>
      <c r="AH14" s="3">
        <f>23750+633906.45+865</f>
        <v>658521.44999999995</v>
      </c>
      <c r="AJ14" s="14">
        <f>SUM(AK14:BL14)</f>
        <v>614435.69999999995</v>
      </c>
      <c r="AL14" s="2">
        <f>2875.5+3300</f>
        <v>6175.5</v>
      </c>
      <c r="AM14" s="2">
        <f>1791+8124+20950+6287</f>
        <v>37152</v>
      </c>
      <c r="AN14" s="2">
        <f>3272+6600</f>
        <v>9872</v>
      </c>
      <c r="AO14" s="2">
        <f>663.3</f>
        <v>663.3</v>
      </c>
      <c r="AP14" s="2">
        <v>3608</v>
      </c>
      <c r="AS14" s="2">
        <f>43104+137280+77700</f>
        <v>258084</v>
      </c>
      <c r="AU14" s="2">
        <f>230</f>
        <v>230</v>
      </c>
      <c r="AV14" s="2">
        <v>842</v>
      </c>
      <c r="BC14" s="2">
        <f>30494+4356+1454</f>
        <v>36304</v>
      </c>
      <c r="BD14" s="2">
        <f>568+1980+8080+14376+9063</f>
        <v>34067</v>
      </c>
      <c r="BG14" s="2">
        <f>3474.9+100000+44760+21668+5118+4295+330</f>
        <v>179645.9</v>
      </c>
      <c r="BH14" s="2">
        <v>15170</v>
      </c>
      <c r="BI14" s="2">
        <f>4586+19455</f>
        <v>24041</v>
      </c>
      <c r="BK14" s="2">
        <f>3615+4966</f>
        <v>8581</v>
      </c>
      <c r="BM14" s="14">
        <f>SUM(BN14:CR14)</f>
        <v>1890097.9</v>
      </c>
      <c r="BN14" s="2">
        <v>10504</v>
      </c>
      <c r="BO14" s="2">
        <v>264.89999999999998</v>
      </c>
      <c r="BP14" s="2">
        <v>418.5</v>
      </c>
      <c r="BQ14" s="2">
        <f>22600+3003</f>
        <v>25603</v>
      </c>
      <c r="BR14" s="2">
        <f>333+10032</f>
        <v>10365</v>
      </c>
      <c r="BS14" s="2">
        <f>29518+24341+67727.5+501</f>
        <v>122087.5</v>
      </c>
      <c r="BV14" s="2">
        <f>950</f>
        <v>950</v>
      </c>
      <c r="BW14" s="2">
        <f>3585+8436</f>
        <v>12021</v>
      </c>
      <c r="BX14" s="2">
        <f>15800+510000+15609</f>
        <v>541409</v>
      </c>
      <c r="CC14" s="2">
        <f>16582</f>
        <v>16582</v>
      </c>
      <c r="CD14" s="2">
        <f>9450+9600</f>
        <v>19050</v>
      </c>
      <c r="CE14" s="2">
        <f>13015+18100</f>
        <v>31115</v>
      </c>
      <c r="CK14" s="2">
        <f>2444</f>
        <v>2444</v>
      </c>
      <c r="CL14" s="2">
        <f>800+883+3261</f>
        <v>4944</v>
      </c>
      <c r="CM14" s="2">
        <f>2743+5115+8721+9177+11742+13987.4+18896+35205+10160</f>
        <v>115746.4</v>
      </c>
      <c r="CQ14" s="2">
        <v>1709</v>
      </c>
      <c r="CR14" s="2">
        <f>7185+8500+23120+93000+843079.6</f>
        <v>974884.6</v>
      </c>
      <c r="CS14" s="14">
        <f>SUM(CT14:DW14)</f>
        <v>1091807.3500000001</v>
      </c>
      <c r="CT14" s="2">
        <f>2428.2+18399+22000</f>
        <v>42827.199999999997</v>
      </c>
      <c r="CU14" s="2">
        <f>1403+3367+8000</f>
        <v>12770</v>
      </c>
      <c r="CZ14" s="2">
        <f>2875+10000</f>
        <v>12875</v>
      </c>
      <c r="DA14" s="2">
        <f>1400+6873+66800</f>
        <v>75073</v>
      </c>
      <c r="DB14" s="2">
        <f>2017+3583+3912+6561+9052+19062.02+26600+461656.5</f>
        <v>532443.52</v>
      </c>
      <c r="DG14" s="2">
        <f>1280.53+1564+3500+8753+125133</f>
        <v>140230.53</v>
      </c>
      <c r="DI14" s="2">
        <f>4600+9750.1</f>
        <v>14350.1</v>
      </c>
      <c r="DJ14" s="2">
        <f>3362+5564+37519+52847</f>
        <v>99292</v>
      </c>
      <c r="DM14" s="2">
        <f>2962+3045+5088+5116+15370+24000</f>
        <v>55581</v>
      </c>
      <c r="DN14" s="2">
        <f>512</f>
        <v>512</v>
      </c>
      <c r="DP14" s="2">
        <f>3822</f>
        <v>3822</v>
      </c>
      <c r="DT14" s="2">
        <f>1400+74275</f>
        <v>75675</v>
      </c>
      <c r="DU14" s="2">
        <f>1070+2640+2950</f>
        <v>6660</v>
      </c>
      <c r="DV14" s="2">
        <f>3412+11850</f>
        <v>15262</v>
      </c>
      <c r="DW14" s="2">
        <f>1726+2708</f>
        <v>4434</v>
      </c>
      <c r="DX14" s="14">
        <f>SUM(DY14:FC14)</f>
        <v>1688746.74</v>
      </c>
      <c r="DY14" s="2">
        <v>416.7</v>
      </c>
      <c r="EJ14" s="2">
        <f>1050+1965+2335</f>
        <v>5350</v>
      </c>
      <c r="EK14" s="2">
        <f>481+5800+7379.4+9244+10984+12236.2+13625+44000</f>
        <v>103749.6</v>
      </c>
      <c r="EL14" s="2">
        <f>146+594+2082+2100+2370+7924+11606.2+16077.8+16418.4+100000+157561</f>
        <v>316879.40000000002</v>
      </c>
      <c r="EM14" s="2">
        <f>13185+20205</f>
        <v>33390</v>
      </c>
      <c r="EP14" s="2">
        <f>8394+11225+20100+40000</f>
        <v>79719</v>
      </c>
      <c r="EQ14" s="2">
        <f>1262</f>
        <v>1262</v>
      </c>
      <c r="ER14" s="2">
        <f>1220</f>
        <v>1220</v>
      </c>
      <c r="ES14" s="2">
        <f>584+23800</f>
        <v>24384</v>
      </c>
      <c r="ET14" s="2">
        <f>799+5324</f>
        <v>6123</v>
      </c>
      <c r="EW14" s="2">
        <f>525+25068</f>
        <v>25593</v>
      </c>
      <c r="EX14" s="2">
        <f>1636+3200+7453.44</f>
        <v>12289.439999999999</v>
      </c>
      <c r="EZ14" s="2">
        <v>1069967.6000000001</v>
      </c>
      <c r="FA14" s="2">
        <f>1041+7362</f>
        <v>8403</v>
      </c>
      <c r="FD14" s="14">
        <f>SUM(FE14:GH14)</f>
        <v>0</v>
      </c>
      <c r="GI14" s="14">
        <f>SUM(GJ14:HN14)</f>
        <v>0</v>
      </c>
      <c r="HO14" s="14">
        <f>SUM(HP14:IT14)</f>
        <v>0</v>
      </c>
      <c r="IU14" s="14">
        <f>SUM(IV14:JY14)</f>
        <v>0</v>
      </c>
      <c r="JZ14" s="14">
        <f>SUM(KA14:LE14)</f>
        <v>0</v>
      </c>
      <c r="LF14" s="14">
        <f>SUM(LG14:MJ14)</f>
        <v>0</v>
      </c>
      <c r="MK14" s="14">
        <f>SUM(ML14:NP14)</f>
        <v>0</v>
      </c>
    </row>
    <row r="15" spans="1:380" s="2" customFormat="1" x14ac:dyDescent="0.2">
      <c r="A15" s="1"/>
      <c r="B15" s="24" t="s">
        <v>70</v>
      </c>
      <c r="C15" s="14">
        <f>D15+AJ15+BM15+CS15+DX15+FD15+GI15+HO15+IU15+JZ15+LF15+MK15</f>
        <v>114987</v>
      </c>
      <c r="D15" s="14">
        <f>SUM(E15:AI15)</f>
        <v>9920</v>
      </c>
      <c r="G15" s="3"/>
      <c r="P15" s="3"/>
      <c r="Q15" s="3"/>
      <c r="R15" s="3">
        <f>600+9320</f>
        <v>9920</v>
      </c>
      <c r="S15" s="3"/>
      <c r="T15" s="3"/>
      <c r="W15" s="3"/>
      <c r="X15" s="3"/>
      <c r="Y15" s="3"/>
      <c r="Z15" s="3"/>
      <c r="AA15" s="3"/>
      <c r="AD15" s="3"/>
      <c r="AE15" s="3"/>
      <c r="AF15" s="3"/>
      <c r="AG15" s="3"/>
      <c r="AH15" s="3"/>
      <c r="AJ15" s="14">
        <f>SUM(AK15:BL15)</f>
        <v>30845</v>
      </c>
      <c r="AU15" s="2">
        <v>650</v>
      </c>
      <c r="AV15" s="2">
        <v>11200</v>
      </c>
      <c r="AY15" s="2">
        <v>18995</v>
      </c>
      <c r="BM15" s="14">
        <f>SUM(BN15:CR15)</f>
        <v>0</v>
      </c>
      <c r="CS15" s="14">
        <f>SUM(CT15:DW15)</f>
        <v>10968</v>
      </c>
      <c r="DT15" s="2">
        <v>9433</v>
      </c>
      <c r="DU15" s="2">
        <v>500</v>
      </c>
      <c r="DV15" s="2">
        <v>1035</v>
      </c>
      <c r="DX15" s="14">
        <f>SUM(DY15:FC15)</f>
        <v>63254</v>
      </c>
      <c r="EF15" s="2">
        <v>1846</v>
      </c>
      <c r="EI15" s="2">
        <v>30700</v>
      </c>
      <c r="EJ15" s="2">
        <v>15000</v>
      </c>
      <c r="EL15" s="2">
        <v>15708</v>
      </c>
      <c r="FD15" s="14">
        <f>SUM(FE15:GH15)</f>
        <v>0</v>
      </c>
      <c r="GI15" s="14">
        <f>SUM(GJ15:HN15)</f>
        <v>0</v>
      </c>
      <c r="HO15" s="14">
        <f>SUM(HP15:IT15)</f>
        <v>0</v>
      </c>
      <c r="IU15" s="14">
        <f>SUM(IV15:JY15)</f>
        <v>0</v>
      </c>
      <c r="JZ15" s="14">
        <f>SUM(KA15:LE15)</f>
        <v>0</v>
      </c>
      <c r="LF15" s="14">
        <f>SUM(LG15:MJ15)</f>
        <v>0</v>
      </c>
      <c r="MK15" s="14">
        <f>SUM(ML15:NP15)</f>
        <v>0</v>
      </c>
    </row>
    <row r="16" spans="1:380" x14ac:dyDescent="0.2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S16" s="1"/>
      <c r="DX16" s="1"/>
      <c r="FD16" s="1"/>
      <c r="GI16" s="1"/>
      <c r="HO16" s="1"/>
      <c r="IU16" s="1"/>
      <c r="JE16" s="1"/>
      <c r="JZ16" s="1"/>
      <c r="LF16" s="1"/>
      <c r="MK16" s="1"/>
    </row>
    <row r="17" spans="1:382" x14ac:dyDescent="0.2">
      <c r="B17" s="20" t="s">
        <v>75</v>
      </c>
      <c r="C17" s="9">
        <f>SUM(C18:C20)</f>
        <v>409207</v>
      </c>
      <c r="D17" s="9">
        <f>SUM(D18:D20)</f>
        <v>21000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9">
        <f>SUM(AJ18:AJ20)</f>
        <v>17155</v>
      </c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9">
        <f>SUM(BM18:BM20)</f>
        <v>308075</v>
      </c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9">
        <f>SUM(CS18:CS20)</f>
        <v>25600</v>
      </c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9">
        <f>SUM(DX18:DX20)</f>
        <v>37377</v>
      </c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9">
        <f>SUM(FD18:FD20)</f>
        <v>0</v>
      </c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9">
        <f>SUM(GI18:GI20)</f>
        <v>0</v>
      </c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9">
        <f>SUM(HO18:HO20)</f>
        <v>0</v>
      </c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9">
        <f>SUM(IU18:IU20)</f>
        <v>0</v>
      </c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9">
        <f>SUM(JZ18:JZ20)</f>
        <v>0</v>
      </c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9">
        <f>SUM(LF18:LF20)</f>
        <v>0</v>
      </c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9">
        <f>SUM(MK18:MK20)</f>
        <v>0</v>
      </c>
    </row>
    <row r="18" spans="1:382" s="2" customFormat="1" x14ac:dyDescent="0.2">
      <c r="A18" s="1"/>
      <c r="B18" s="24" t="s">
        <v>65</v>
      </c>
      <c r="C18" s="14">
        <f>D18+AJ18+BM18+CS18+DX18+FD18+GI18+HO18+IU18+JZ18+LF18+MK18</f>
        <v>40000</v>
      </c>
      <c r="D18" s="14">
        <f>SUM(E18:AI18)</f>
        <v>15000</v>
      </c>
      <c r="G18" s="3"/>
      <c r="P18" s="3"/>
      <c r="Q18" s="3"/>
      <c r="R18" s="3">
        <v>5000</v>
      </c>
      <c r="S18" s="3"/>
      <c r="T18" s="3"/>
      <c r="W18" s="3"/>
      <c r="X18" s="3"/>
      <c r="Y18" s="3"/>
      <c r="Z18" s="3"/>
      <c r="AA18" s="3">
        <v>10000</v>
      </c>
      <c r="AD18" s="3"/>
      <c r="AE18" s="3"/>
      <c r="AF18" s="3"/>
      <c r="AG18" s="3"/>
      <c r="AH18" s="3"/>
      <c r="AJ18" s="14">
        <f>SUM(AK18:BL18)</f>
        <v>5000</v>
      </c>
      <c r="AO18" s="2">
        <v>5000</v>
      </c>
      <c r="BM18" s="14">
        <f>SUM(BN18:CR18)</f>
        <v>10000</v>
      </c>
      <c r="BV18" s="2">
        <v>10000</v>
      </c>
      <c r="CS18" s="14">
        <f>SUM(CT18:DW18)</f>
        <v>10000</v>
      </c>
      <c r="DJ18" s="2">
        <v>10000</v>
      </c>
      <c r="DX18" s="14">
        <f>SUM(DY18:FC18)</f>
        <v>0</v>
      </c>
      <c r="FD18" s="14">
        <f>SUM(FE18:GH18)</f>
        <v>0</v>
      </c>
      <c r="GI18" s="14">
        <f>SUM(GJ18:HN18)</f>
        <v>0</v>
      </c>
      <c r="HO18" s="14">
        <f>SUM(HP18:IT18)</f>
        <v>0</v>
      </c>
      <c r="IU18" s="14">
        <f>SUM(IV18:JY18)</f>
        <v>0</v>
      </c>
      <c r="JZ18" s="14">
        <f>SUM(KA18:LE18)</f>
        <v>0</v>
      </c>
      <c r="LF18" s="14">
        <f>SUM(LG18:MJ18)</f>
        <v>0</v>
      </c>
      <c r="MK18" s="14">
        <f>SUM(ML18:NP18)</f>
        <v>0</v>
      </c>
    </row>
    <row r="19" spans="1:382" s="2" customFormat="1" x14ac:dyDescent="0.2">
      <c r="A19" s="1"/>
      <c r="B19" s="24" t="s">
        <v>69</v>
      </c>
      <c r="C19" s="14">
        <f>D19+AJ19+BM19+CS19+DX19+FD19+GI19+HO19+IU19+JZ19+LF19+MK19</f>
        <v>30000</v>
      </c>
      <c r="D19" s="14">
        <f>SUM(E19:AI19)</f>
        <v>6000</v>
      </c>
      <c r="G19" s="3"/>
      <c r="P19" s="3"/>
      <c r="Q19" s="3">
        <v>6000</v>
      </c>
      <c r="R19" s="3"/>
      <c r="S19" s="3"/>
      <c r="T19" s="3"/>
      <c r="W19" s="3"/>
      <c r="X19" s="3"/>
      <c r="Y19" s="3"/>
      <c r="Z19" s="3"/>
      <c r="AA19" s="3"/>
      <c r="AD19" s="3"/>
      <c r="AE19" s="3"/>
      <c r="AF19" s="3"/>
      <c r="AG19" s="3"/>
      <c r="AH19" s="3"/>
      <c r="AJ19" s="14">
        <f>SUM(AK19:BL19)</f>
        <v>6000</v>
      </c>
      <c r="AO19" s="2">
        <v>6000</v>
      </c>
      <c r="BM19" s="14">
        <f>SUM(BN19:CR19)</f>
        <v>6000</v>
      </c>
      <c r="BO19" s="2">
        <v>6000</v>
      </c>
      <c r="CS19" s="14">
        <f>SUM(CT19:DW19)</f>
        <v>6000</v>
      </c>
      <c r="CT19" s="2">
        <v>6000</v>
      </c>
      <c r="DX19" s="14">
        <f>SUM(DY19:FC19)</f>
        <v>6000</v>
      </c>
      <c r="EB19" s="2">
        <v>6000</v>
      </c>
      <c r="FD19" s="14">
        <f>SUM(FE19:GH19)</f>
        <v>0</v>
      </c>
      <c r="GI19" s="14">
        <f>SUM(GJ19:HN19)</f>
        <v>0</v>
      </c>
      <c r="HO19" s="14">
        <f>SUM(HP19:IT19)</f>
        <v>0</v>
      </c>
      <c r="IU19" s="14">
        <f>SUM(IV19:JY19)</f>
        <v>0</v>
      </c>
      <c r="JZ19" s="14">
        <f>SUM(KA19:LE19)</f>
        <v>0</v>
      </c>
      <c r="LF19" s="14">
        <f>SUM(LG19:MJ19)</f>
        <v>0</v>
      </c>
      <c r="MK19" s="14">
        <f>SUM(ML19:NP19)</f>
        <v>0</v>
      </c>
    </row>
    <row r="20" spans="1:382" s="2" customFormat="1" x14ac:dyDescent="0.2">
      <c r="A20" s="1"/>
      <c r="B20" s="24" t="s">
        <v>71</v>
      </c>
      <c r="C20" s="14">
        <f>D20+AJ20+BM20+CS20+DX20+FD20+GI20+HO20+IU20+JZ20+LF20+MK20</f>
        <v>339207</v>
      </c>
      <c r="D20" s="14">
        <f>SUM(E20:AI20)</f>
        <v>0</v>
      </c>
      <c r="G20" s="3"/>
      <c r="P20" s="3"/>
      <c r="Q20" s="3"/>
      <c r="R20" s="3"/>
      <c r="S20" s="3"/>
      <c r="T20" s="3"/>
      <c r="W20" s="3"/>
      <c r="X20" s="3"/>
      <c r="Y20" s="3"/>
      <c r="Z20" s="3"/>
      <c r="AA20" s="3"/>
      <c r="AD20" s="3"/>
      <c r="AE20" s="3"/>
      <c r="AF20" s="3"/>
      <c r="AG20" s="3"/>
      <c r="AH20" s="3"/>
      <c r="AJ20" s="14">
        <f>SUM(AK20:BL20)</f>
        <v>6155</v>
      </c>
      <c r="AR20" s="2">
        <v>1155</v>
      </c>
      <c r="BC20" s="2">
        <v>5000</v>
      </c>
      <c r="BM20" s="14">
        <f>SUM(BN20:CR20)</f>
        <v>292075</v>
      </c>
      <c r="BV20" s="2">
        <v>3000</v>
      </c>
      <c r="BZ20" s="2">
        <v>70575</v>
      </c>
      <c r="CC20" s="2">
        <v>218500</v>
      </c>
      <c r="CS20" s="14">
        <f>SUM(CT20:DW20)</f>
        <v>9600</v>
      </c>
      <c r="CY20" s="2">
        <v>6700</v>
      </c>
      <c r="DB20" s="2">
        <v>900</v>
      </c>
      <c r="DN20" s="2">
        <v>2000</v>
      </c>
      <c r="DX20" s="14">
        <f>SUM(DY20:FC20)</f>
        <v>31377</v>
      </c>
      <c r="DY20" s="2">
        <v>200</v>
      </c>
      <c r="ER20" s="2">
        <v>25000</v>
      </c>
      <c r="ES20" s="2">
        <v>760</v>
      </c>
      <c r="EX20" s="2">
        <v>5417</v>
      </c>
      <c r="FD20" s="14">
        <f>SUM(FE20:GH20)</f>
        <v>0</v>
      </c>
      <c r="GI20" s="14">
        <f>SUM(GJ20:HN20)</f>
        <v>0</v>
      </c>
      <c r="HO20" s="14">
        <f>SUM(HP20:IT20)</f>
        <v>0</v>
      </c>
      <c r="IU20" s="14">
        <f>SUM(IV20:JY20)</f>
        <v>0</v>
      </c>
      <c r="JZ20" s="14">
        <f>SUM(KA20:LE20)</f>
        <v>0</v>
      </c>
      <c r="LF20" s="14">
        <f>SUM(LG20:MJ20)</f>
        <v>0</v>
      </c>
      <c r="MK20" s="14">
        <f>SUM(ML20:NP20)</f>
        <v>0</v>
      </c>
    </row>
    <row r="21" spans="1:382" s="7" customFormat="1" x14ac:dyDescent="0.2">
      <c r="A21" s="1"/>
      <c r="B21" s="24"/>
      <c r="NR21" s="2"/>
    </row>
    <row r="22" spans="1:382" s="7" customFormat="1" x14ac:dyDescent="0.2">
      <c r="A22" s="1"/>
      <c r="B22" s="24"/>
      <c r="NR22" s="2"/>
    </row>
    <row r="23" spans="1:382" s="7" customFormat="1" x14ac:dyDescent="0.2">
      <c r="A23" s="1"/>
      <c r="B23" s="24"/>
      <c r="NR23" s="2"/>
    </row>
    <row r="24" spans="1:382" s="7" customFormat="1" x14ac:dyDescent="0.2">
      <c r="A24" s="1"/>
      <c r="B24" s="26" t="s">
        <v>77</v>
      </c>
      <c r="C24" s="32">
        <f>C26+C31+C34+C43+C49+C57+C61+C74+C83+C92+C106</f>
        <v>28118646.899999999</v>
      </c>
      <c r="D24" s="32">
        <f>D26+D31+D34+D43+D49+D57+D61+D74+D83+D92+D106</f>
        <v>2884515.06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32">
        <f>AJ26+AJ31+AJ34+AJ43+AJ49+AJ57+AJ61+AJ74+AJ83+AJ92+AJ106</f>
        <v>6113015.2000000002</v>
      </c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32">
        <f>BM26+BM31+BM34+BM43+BM49+BM57+BM61+BM74+BM83+BM92+BM106</f>
        <v>6593745.29</v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32">
        <f>CS26+CS31+CS34+CS43+CS49+CS57+CS61+CS74+CS83+CS92+CS106</f>
        <v>6434650.7300000004</v>
      </c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32">
        <f>DX26+DX31+DX34+DX43+DX49+DX57+DX61+DX74+DX83+DX92+DX106</f>
        <v>6092720.6199999992</v>
      </c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32">
        <f>FD26+FD31+FD34+FD43+FD49+FD57+FD61+FD74+FD83+FD92+FD106</f>
        <v>0</v>
      </c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32">
        <f>GI26+GI31+GI34+GI43+GI49+GI57+GI61+GI74+GI83+GI92+GI106</f>
        <v>0</v>
      </c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32">
        <f>HO26+HO31+HO34+HO43+HO49+HO57+HO61+HO74+HO83+HO92+HO106</f>
        <v>0</v>
      </c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32">
        <f>IU26+IU31+IU34+IU43+IU49+IU57+IU61+IU74+IU83+IU92+IU106</f>
        <v>0</v>
      </c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32">
        <f>JZ26+JZ31+JZ34+JZ43+JZ49+JZ57+JZ61+JZ74+JZ83+JZ92+JZ106</f>
        <v>0</v>
      </c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32">
        <f>LF26+LF31+LF34+LF43+LF49+LF57+LF61+LF74+LF83+LF92+LF106</f>
        <v>0</v>
      </c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32">
        <f>MK26+MK31+MK34+MK43+MK49+MK57+MK61+MK74+MK83+MK92+MK106</f>
        <v>0</v>
      </c>
      <c r="NR24" s="2"/>
    </row>
    <row r="25" spans="1:382" x14ac:dyDescent="0.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S25" s="1"/>
      <c r="DX25" s="1"/>
      <c r="FD25" s="1"/>
      <c r="GI25" s="1"/>
      <c r="HO25" s="1"/>
      <c r="IU25" s="1"/>
      <c r="JE25" s="1"/>
      <c r="JZ25" s="1"/>
      <c r="LF25" s="1"/>
      <c r="MK25" s="1"/>
    </row>
    <row r="26" spans="1:382" x14ac:dyDescent="0.2">
      <c r="B26" s="27" t="s">
        <v>78</v>
      </c>
      <c r="C26" s="13">
        <f>SUM(C27:C29)</f>
        <v>191264.75</v>
      </c>
      <c r="D26" s="13">
        <f>SUM(D27:D29)</f>
        <v>35150.97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13">
        <f>SUM(AJ27:AJ29)</f>
        <v>23119.07</v>
      </c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13">
        <f>SUM(BM27:BM29)</f>
        <v>31670.83</v>
      </c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13">
        <f>SUM(CS27:CS29)</f>
        <v>53610.61</v>
      </c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13">
        <f>SUM(DX27:DX29)</f>
        <v>47713.27</v>
      </c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13">
        <f>SUM(FD27:FD29)</f>
        <v>0</v>
      </c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13">
        <f>SUM(GI27:GI29)</f>
        <v>0</v>
      </c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13">
        <f>SUM(HO27:HO29)</f>
        <v>0</v>
      </c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13">
        <f>SUM(IU27:IU29)</f>
        <v>0</v>
      </c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13">
        <f>SUM(JZ27:JZ29)</f>
        <v>0</v>
      </c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13">
        <f>SUM(LF27:LF29)</f>
        <v>0</v>
      </c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13">
        <f>SUM(MK27:MK29)</f>
        <v>0</v>
      </c>
    </row>
    <row r="27" spans="1:382" s="2" customFormat="1" x14ac:dyDescent="0.2">
      <c r="A27" s="1"/>
      <c r="B27" s="24" t="s">
        <v>9</v>
      </c>
      <c r="C27" s="14">
        <f>D27+AJ27+BM27+CS27+DX27+FD27+GI27+HO27+IU27+JZ27+LF27+MK27</f>
        <v>70631.389999999985</v>
      </c>
      <c r="D27" s="14">
        <f>SUM(E27:AI27)</f>
        <v>11929.63</v>
      </c>
      <c r="G27" s="3">
        <v>428.54</v>
      </c>
      <c r="I27" s="2">
        <v>916.57</v>
      </c>
      <c r="J27" s="2">
        <v>538.48</v>
      </c>
      <c r="K27" s="2">
        <v>420.61</v>
      </c>
      <c r="L27" s="2">
        <v>925.13</v>
      </c>
      <c r="M27" s="2">
        <v>458.62</v>
      </c>
      <c r="N27" s="2">
        <v>275.63</v>
      </c>
      <c r="O27" s="2">
        <v>578.13</v>
      </c>
      <c r="P27" s="3">
        <f>610.23</f>
        <v>610.23</v>
      </c>
      <c r="Q27" s="3">
        <v>1096.3599999999999</v>
      </c>
      <c r="R27" s="3">
        <v>249.07</v>
      </c>
      <c r="S27" s="3">
        <v>144.35</v>
      </c>
      <c r="T27" s="3">
        <v>508.19</v>
      </c>
      <c r="U27" s="2">
        <v>286.22000000000003</v>
      </c>
      <c r="V27" s="2">
        <v>374.3</v>
      </c>
      <c r="W27" s="3">
        <v>168.07</v>
      </c>
      <c r="X27" s="3">
        <v>307.52</v>
      </c>
      <c r="Y27" s="3">
        <v>534.65</v>
      </c>
      <c r="Z27" s="3">
        <v>297.91000000000003</v>
      </c>
      <c r="AA27" s="3">
        <v>445.96</v>
      </c>
      <c r="AB27" s="2">
        <v>428.6</v>
      </c>
      <c r="AC27" s="2">
        <v>476.47</v>
      </c>
      <c r="AD27" s="3">
        <v>104.16</v>
      </c>
      <c r="AE27" s="3">
        <v>315.25</v>
      </c>
      <c r="AF27" s="3">
        <f>166.92</f>
        <v>166.92</v>
      </c>
      <c r="AG27" s="3">
        <v>300.99</v>
      </c>
      <c r="AH27" s="3">
        <v>409.33</v>
      </c>
      <c r="AI27" s="2">
        <v>163.37</v>
      </c>
      <c r="AJ27" s="14">
        <f t="shared" ref="AJ27:AJ45" si="8">SUM(AK27:BL27)</f>
        <v>11732.04</v>
      </c>
      <c r="AK27" s="2">
        <v>826.44</v>
      </c>
      <c r="AL27" s="2">
        <v>777.37</v>
      </c>
      <c r="AM27" s="2">
        <v>390.71</v>
      </c>
      <c r="AN27" s="2">
        <v>407.95</v>
      </c>
      <c r="AO27" s="2">
        <f>248.48</f>
        <v>248.48</v>
      </c>
      <c r="AP27" s="2">
        <v>488.96</v>
      </c>
      <c r="AQ27" s="2">
        <v>96.49</v>
      </c>
      <c r="AR27" s="2">
        <v>329.64</v>
      </c>
      <c r="AS27" s="2">
        <v>576.55999999999995</v>
      </c>
      <c r="AT27" s="2">
        <v>227.54</v>
      </c>
      <c r="AU27" s="2">
        <v>107.84</v>
      </c>
      <c r="AV27" s="2">
        <v>8.9</v>
      </c>
      <c r="AW27" s="2">
        <v>271.31</v>
      </c>
      <c r="AX27" s="2">
        <v>612.22</v>
      </c>
      <c r="AY27" s="2">
        <v>267.06</v>
      </c>
      <c r="AZ27" s="2">
        <v>241.56</v>
      </c>
      <c r="BA27" s="2">
        <v>559.89</v>
      </c>
      <c r="BB27" s="2">
        <v>332.45</v>
      </c>
      <c r="BC27" s="2">
        <v>269.13</v>
      </c>
      <c r="BD27" s="2">
        <v>485.26</v>
      </c>
      <c r="BE27" s="2">
        <v>761.26</v>
      </c>
      <c r="BF27" s="2">
        <v>657.64</v>
      </c>
      <c r="BG27" s="2">
        <v>931.61</v>
      </c>
      <c r="BH27" s="2">
        <v>307.67</v>
      </c>
      <c r="BI27" s="2">
        <v>900.12</v>
      </c>
      <c r="BJ27" s="2">
        <v>308.93</v>
      </c>
      <c r="BK27" s="2">
        <v>206.09</v>
      </c>
      <c r="BL27" s="2">
        <v>132.96</v>
      </c>
      <c r="BM27" s="14">
        <f>SUM(BN27:CR27)</f>
        <v>10919.26</v>
      </c>
      <c r="BN27" s="2">
        <v>769.66</v>
      </c>
      <c r="BO27" s="2">
        <v>488.09</v>
      </c>
      <c r="BP27" s="2">
        <v>75.11</v>
      </c>
      <c r="BQ27" s="2">
        <v>163.77000000000001</v>
      </c>
      <c r="BS27" s="2">
        <v>636.51</v>
      </c>
      <c r="BT27" s="2">
        <v>541.04</v>
      </c>
      <c r="BU27" s="2">
        <v>314.73</v>
      </c>
      <c r="BV27" s="2">
        <v>542.47</v>
      </c>
      <c r="BW27" s="2">
        <v>263.02</v>
      </c>
      <c r="BX27" s="2">
        <v>198.06</v>
      </c>
      <c r="BY27" s="2">
        <v>134.94999999999999</v>
      </c>
      <c r="BZ27" s="2">
        <v>209.59</v>
      </c>
      <c r="CA27" s="2">
        <v>261.49</v>
      </c>
      <c r="CB27" s="2">
        <v>290.36</v>
      </c>
      <c r="CC27" s="2">
        <v>365.33</v>
      </c>
      <c r="CD27" s="2">
        <v>404.07</v>
      </c>
      <c r="CE27" s="2">
        <v>407.24</v>
      </c>
      <c r="CF27" s="2">
        <v>166.93</v>
      </c>
      <c r="CG27" s="2">
        <v>133.79</v>
      </c>
      <c r="CH27" s="2">
        <v>199.96</v>
      </c>
      <c r="CI27" s="2">
        <v>464.97</v>
      </c>
      <c r="CJ27" s="2">
        <v>235.09</v>
      </c>
      <c r="CK27" s="2">
        <v>431.22</v>
      </c>
      <c r="CL27" s="2">
        <v>398.09</v>
      </c>
      <c r="CM27" s="2">
        <v>356.03</v>
      </c>
      <c r="CN27" s="2">
        <v>258.16000000000003</v>
      </c>
      <c r="CO27" s="2">
        <v>515.73</v>
      </c>
      <c r="CP27" s="2">
        <v>407.34</v>
      </c>
      <c r="CQ27" s="2">
        <v>1103.92</v>
      </c>
      <c r="CR27" s="2">
        <v>182.54</v>
      </c>
      <c r="CS27" s="14">
        <f>SUM(CT27:DW27)</f>
        <v>15283.189999999997</v>
      </c>
      <c r="CX27" s="2">
        <v>824.32</v>
      </c>
      <c r="CY27" s="2">
        <v>2374.7399999999998</v>
      </c>
      <c r="CZ27" s="2">
        <v>1066.18</v>
      </c>
      <c r="DA27" s="2">
        <v>247.21</v>
      </c>
      <c r="DB27" s="2">
        <v>322.02</v>
      </c>
      <c r="DC27" s="2">
        <v>416.37</v>
      </c>
      <c r="DD27" s="2">
        <v>656.77</v>
      </c>
      <c r="DE27" s="2">
        <v>558.26</v>
      </c>
      <c r="DF27" s="2">
        <v>595.28</v>
      </c>
      <c r="DG27" s="2">
        <v>417.95</v>
      </c>
      <c r="DH27" s="2">
        <v>253.38</v>
      </c>
      <c r="DI27" s="2">
        <v>372.01</v>
      </c>
      <c r="DJ27" s="2">
        <v>233.25</v>
      </c>
      <c r="DK27" s="2">
        <v>878.83</v>
      </c>
      <c r="DL27" s="2">
        <v>494.52</v>
      </c>
      <c r="DM27" s="2">
        <v>448.31</v>
      </c>
      <c r="DN27" s="2">
        <v>565.21</v>
      </c>
      <c r="DO27" s="2">
        <v>100</v>
      </c>
      <c r="DS27" s="2">
        <v>1406.23</v>
      </c>
      <c r="DT27" s="2">
        <v>1366.76</v>
      </c>
      <c r="DU27" s="2">
        <v>1152.8499999999999</v>
      </c>
      <c r="DV27" s="2">
        <v>432.74</v>
      </c>
      <c r="DW27" s="2">
        <f>100</f>
        <v>100</v>
      </c>
      <c r="DX27" s="14">
        <f>SUM(DY27:FC27)</f>
        <v>20767.269999999997</v>
      </c>
      <c r="DY27" s="2">
        <v>1405.15</v>
      </c>
      <c r="DZ27" s="2">
        <v>360.32</v>
      </c>
      <c r="EA27" s="2">
        <v>958.69</v>
      </c>
      <c r="EB27" s="2">
        <v>1431.83</v>
      </c>
      <c r="EC27" s="2">
        <v>1104.8800000000001</v>
      </c>
      <c r="ED27" s="2">
        <v>622.48</v>
      </c>
      <c r="EE27" s="2">
        <v>911.05</v>
      </c>
      <c r="EF27" s="2">
        <v>579.34</v>
      </c>
      <c r="EG27" s="2">
        <v>99.41</v>
      </c>
      <c r="EH27" s="2">
        <v>1016.66</v>
      </c>
      <c r="EI27" s="2">
        <v>724.13</v>
      </c>
      <c r="EJ27" s="2">
        <v>373.72</v>
      </c>
      <c r="EK27" s="2">
        <v>346.13</v>
      </c>
      <c r="EL27" s="2">
        <v>695.12</v>
      </c>
      <c r="EM27" s="2">
        <v>434.36</v>
      </c>
      <c r="EN27" s="2">
        <v>371.43</v>
      </c>
      <c r="EO27" s="2">
        <v>983.78</v>
      </c>
      <c r="EP27" s="2">
        <v>1002.17</v>
      </c>
      <c r="EQ27" s="2">
        <v>596.84</v>
      </c>
      <c r="ER27" s="2">
        <v>646.91999999999996</v>
      </c>
      <c r="ES27" s="2">
        <v>370.37</v>
      </c>
      <c r="ET27" s="2">
        <v>671.56</v>
      </c>
      <c r="EU27" s="2">
        <v>624.84</v>
      </c>
      <c r="EV27" s="2">
        <v>804.06</v>
      </c>
      <c r="EW27" s="2">
        <v>677.03</v>
      </c>
      <c r="EX27" s="2">
        <v>311.02999999999997</v>
      </c>
      <c r="EY27" s="2">
        <v>171.13</v>
      </c>
      <c r="EZ27" s="2">
        <v>222.75</v>
      </c>
      <c r="FA27" s="2">
        <v>261.60000000000002</v>
      </c>
      <c r="FB27" s="2">
        <v>517.87</v>
      </c>
      <c r="FC27" s="2">
        <v>1470.62</v>
      </c>
      <c r="FD27" s="14">
        <f t="shared" ref="FD27:FD45" si="9">SUM(FE27:GH27)</f>
        <v>0</v>
      </c>
      <c r="GI27" s="14">
        <f>SUM(GJ27:HN27)</f>
        <v>0</v>
      </c>
      <c r="HO27" s="14">
        <f>SUM(HP27:IT27)</f>
        <v>0</v>
      </c>
      <c r="IU27" s="14">
        <f t="shared" ref="IU27:IU45" si="10">SUM(IV27:JY27)</f>
        <v>0</v>
      </c>
      <c r="JZ27" s="14">
        <f>SUM(KA27:LE27)</f>
        <v>0</v>
      </c>
      <c r="LF27" s="14">
        <f t="shared" ref="LF27:LF45" si="11">SUM(LG27:MJ27)</f>
        <v>0</v>
      </c>
      <c r="MK27" s="14">
        <f>SUM(ML27:NP27)</f>
        <v>0</v>
      </c>
    </row>
    <row r="28" spans="1:382" s="2" customFormat="1" x14ac:dyDescent="0.2">
      <c r="A28" s="1"/>
      <c r="B28" s="24" t="s">
        <v>10</v>
      </c>
      <c r="C28" s="14">
        <f>D28+AJ28+BM28+CS28+DX28+FD28+GI28+HO28+IU28+JZ28+LF28+MK28</f>
        <v>78519.780000000013</v>
      </c>
      <c r="D28" s="14">
        <f t="shared" ref="D28:D45" si="12">SUM(E28:AI28)</f>
        <v>8062.84</v>
      </c>
      <c r="G28" s="3"/>
      <c r="P28" s="3">
        <f>474.15+2914.04</f>
        <v>3388.19</v>
      </c>
      <c r="Q28" s="3">
        <f>43.38+96.64</f>
        <v>140.02000000000001</v>
      </c>
      <c r="R28" s="3">
        <f>178.23+157.75</f>
        <v>335.98</v>
      </c>
      <c r="S28" s="3">
        <f>137.15+129.72</f>
        <v>266.87</v>
      </c>
      <c r="T28" s="3">
        <f>75.62+28.98</f>
        <v>104.60000000000001</v>
      </c>
      <c r="W28" s="3">
        <f>994.12+443.71</f>
        <v>1437.83</v>
      </c>
      <c r="X28" s="3">
        <f>110.99+128.79</f>
        <v>239.77999999999997</v>
      </c>
      <c r="Y28" s="3">
        <f>53.02+25</f>
        <v>78.02000000000001</v>
      </c>
      <c r="Z28" s="3">
        <f>212.7+3.92</f>
        <v>216.61999999999998</v>
      </c>
      <c r="AA28" s="3">
        <f>201.97+211.14+9.79</f>
        <v>422.90000000000003</v>
      </c>
      <c r="AD28" s="3">
        <f>725.35+50.13</f>
        <v>775.48</v>
      </c>
      <c r="AE28" s="3">
        <f>174.65+12.42</f>
        <v>187.07</v>
      </c>
      <c r="AF28" s="3">
        <f>47.68+0.66</f>
        <v>48.339999999999996</v>
      </c>
      <c r="AG28" s="3">
        <f>31.66+21.62</f>
        <v>53.28</v>
      </c>
      <c r="AH28" s="3">
        <f>363.88+3.98</f>
        <v>367.86</v>
      </c>
      <c r="AJ28" s="14">
        <f t="shared" si="8"/>
        <v>8097.03</v>
      </c>
      <c r="AL28" s="2">
        <f>386.4+361.16</f>
        <v>747.56</v>
      </c>
      <c r="AM28" s="2">
        <f>306.31+22.4</f>
        <v>328.71</v>
      </c>
      <c r="AN28" s="2">
        <f>225.52+254.24</f>
        <v>479.76</v>
      </c>
      <c r="AO28" s="2">
        <f>23.11+40.5</f>
        <v>63.61</v>
      </c>
      <c r="AP28" s="2">
        <f>243.4+116.93</f>
        <v>360.33000000000004</v>
      </c>
      <c r="AS28" s="2">
        <f>999.97+277.74</f>
        <v>1277.71</v>
      </c>
      <c r="AT28" s="2">
        <f>6.07+14.66</f>
        <v>20.73</v>
      </c>
      <c r="AU28" s="2">
        <f>33.96</f>
        <v>33.96</v>
      </c>
      <c r="AV28" s="2">
        <f>183.65</f>
        <v>183.65</v>
      </c>
      <c r="AW28" s="2">
        <f>57.24+30.72</f>
        <v>87.960000000000008</v>
      </c>
      <c r="AZ28" s="2">
        <f>204.79+479.38</f>
        <v>684.17</v>
      </c>
      <c r="BA28" s="2">
        <f>94.6+0.42</f>
        <v>95.02</v>
      </c>
      <c r="BB28" s="2">
        <v>224.23</v>
      </c>
      <c r="BC28" s="2">
        <f>976.76+82.21</f>
        <v>1058.97</v>
      </c>
      <c r="BD28" s="2">
        <f>20.16+370.09</f>
        <v>390.25</v>
      </c>
      <c r="BG28" s="2">
        <f>473.28+447.6</f>
        <v>920.88</v>
      </c>
      <c r="BH28" s="2">
        <f>41.94+501.92</f>
        <v>543.86</v>
      </c>
      <c r="BI28" s="2">
        <f>67.38+81.02</f>
        <v>148.39999999999998</v>
      </c>
      <c r="BJ28" s="2">
        <v>95.38</v>
      </c>
      <c r="BK28" s="2">
        <f>6.19+345.7</f>
        <v>351.89</v>
      </c>
      <c r="BM28" s="14">
        <f>SUM(BN28:CR28)</f>
        <v>17021.57</v>
      </c>
      <c r="BN28" s="2">
        <f>392.8+859.03</f>
        <v>1251.83</v>
      </c>
      <c r="BO28" s="2">
        <v>281.75</v>
      </c>
      <c r="BP28" s="2">
        <f>3.38+373.8</f>
        <v>377.18</v>
      </c>
      <c r="BQ28" s="2">
        <f>43.48+406.31</f>
        <v>449.79</v>
      </c>
      <c r="BR28" s="2">
        <f>12.6+6.56+71.28</f>
        <v>90.44</v>
      </c>
      <c r="BS28" s="2">
        <f>46.28+398.83</f>
        <v>445.11</v>
      </c>
      <c r="BV28" s="2">
        <f>152.5+1408.98</f>
        <v>1561.48</v>
      </c>
      <c r="BW28" s="2">
        <f>171.02</f>
        <v>171.02</v>
      </c>
      <c r="BX28" s="2">
        <f>235.09+327.46</f>
        <v>562.54999999999995</v>
      </c>
      <c r="BY28" s="2">
        <f>51.45+190.67</f>
        <v>242.12</v>
      </c>
      <c r="BZ28" s="2">
        <f>144.12+355.65</f>
        <v>499.77</v>
      </c>
      <c r="CC28" s="2">
        <f>608.18+1653.19</f>
        <v>2261.37</v>
      </c>
      <c r="CD28" s="2">
        <f>61.76+202.55</f>
        <v>264.31</v>
      </c>
      <c r="CE28" s="2">
        <f>69.66+304.05+0.03</f>
        <v>373.74</v>
      </c>
      <c r="CF28" s="2">
        <f>292.37+567.62+3.98</f>
        <v>863.97</v>
      </c>
      <c r="CJ28" s="2">
        <f>593.86+1241.97+40.11</f>
        <v>1875.9399999999998</v>
      </c>
      <c r="CK28" s="2">
        <f>203.66+369.71+59.96</f>
        <v>633.33000000000004</v>
      </c>
      <c r="CL28" s="2">
        <f>163.76+374.48+14.15+43.22</f>
        <v>595.61</v>
      </c>
      <c r="CM28" s="2">
        <f>444.95+461.42+39.07</f>
        <v>945.44</v>
      </c>
      <c r="CN28" s="2">
        <f>10.06+357.85+27.13</f>
        <v>395.04</v>
      </c>
      <c r="CQ28" s="2">
        <f>373.26+1363.64+375.01</f>
        <v>2111.91</v>
      </c>
      <c r="CR28" s="2">
        <f>223.26+494.84+49.77</f>
        <v>767.86999999999989</v>
      </c>
      <c r="CS28" s="14">
        <f>SUM(CT28:DW28)</f>
        <v>20736.300000000003</v>
      </c>
      <c r="CT28" s="2">
        <f>134.56+97.11+424.73</f>
        <v>656.40000000000009</v>
      </c>
      <c r="CU28" s="2">
        <f>128.09+122.88+375.93</f>
        <v>626.9</v>
      </c>
      <c r="CV28" s="2">
        <f>239.86+53.42+601.79</f>
        <v>895.06999999999994</v>
      </c>
      <c r="CY28" s="2">
        <f>160.59+522.07+1236.51</f>
        <v>1919.17</v>
      </c>
      <c r="CZ28" s="2">
        <f>139.98+43.96+295.98</f>
        <v>479.92</v>
      </c>
      <c r="DA28" s="2">
        <f>67.42+30.06+336.54</f>
        <v>434.02000000000004</v>
      </c>
      <c r="DB28" s="2">
        <f>14.44+349.13+7.54</f>
        <v>371.11</v>
      </c>
      <c r="DC28" s="2">
        <f>377.25+519.34+25.67+107.2</f>
        <v>1029.46</v>
      </c>
      <c r="DF28" s="2">
        <f>864.45+2290.43+413.42</f>
        <v>3568.3</v>
      </c>
      <c r="DG28" s="2">
        <f>96.24+380.93+2.66+121.67</f>
        <v>601.5</v>
      </c>
      <c r="DH28" s="2">
        <f>59.75+435.51+47.88+84.97</f>
        <v>628.11</v>
      </c>
      <c r="DI28" s="2">
        <f>125.92+478.8+26.05+72.75</f>
        <v>703.52</v>
      </c>
      <c r="DJ28" s="2">
        <f>90.23+313.49+11.05+0.01</f>
        <v>414.78000000000003</v>
      </c>
      <c r="DM28" s="2">
        <f>218.75+1433.33+47.74+278.62</f>
        <v>1978.44</v>
      </c>
      <c r="DN28" s="2">
        <f>127.02+198.18+107.09</f>
        <v>432.28999999999996</v>
      </c>
      <c r="DO28" s="2">
        <f>31.65+71.63+49.4+518.01</f>
        <v>670.69</v>
      </c>
      <c r="DP28" s="2">
        <f>58.6+49.38+330.06</f>
        <v>438.04</v>
      </c>
      <c r="DQ28" s="2">
        <f>122.83+94.79+381.48</f>
        <v>599.1</v>
      </c>
      <c r="DT28" s="2">
        <f>13.86+306.01+448.83+1552.49</f>
        <v>2321.19</v>
      </c>
      <c r="DU28" s="2">
        <f>252.32+661.33+11.25+15.19</f>
        <v>940.09000000000015</v>
      </c>
      <c r="DV28" s="2">
        <f>35.52+70.34+523.87</f>
        <v>629.73</v>
      </c>
      <c r="DW28" s="2">
        <f>51.34+83.81+263.32</f>
        <v>398.47</v>
      </c>
      <c r="DX28" s="14">
        <f>SUM(DY28:FC28)</f>
        <v>24602.040000000005</v>
      </c>
      <c r="EI28" s="2">
        <f>3031.97+9241.51+470.9+1390.11</f>
        <v>14134.49</v>
      </c>
      <c r="EJ28" s="2">
        <f>28.69+492.99+9.86+39.56</f>
        <v>571.10000000000014</v>
      </c>
      <c r="EK28" s="2">
        <f>45.74+304.31+145.48</f>
        <v>495.53</v>
      </c>
      <c r="EL28" s="2">
        <f>316.22+401.38+3.73+133.58</f>
        <v>854.91000000000008</v>
      </c>
      <c r="EM28" s="2">
        <f>149.46+338.96+18.98</f>
        <v>507.4</v>
      </c>
      <c r="EP28" s="2">
        <f>557.32+1227.29+99.6+255.77</f>
        <v>2139.98</v>
      </c>
      <c r="EQ28" s="2">
        <f>19.91+194.03+117.72</f>
        <v>331.65999999999997</v>
      </c>
      <c r="ER28" s="2">
        <f>35.01+402.4+4.99+78.12</f>
        <v>520.52</v>
      </c>
      <c r="ES28" s="2">
        <f>36.59+430.91+3.33+316.96</f>
        <v>787.79</v>
      </c>
      <c r="ET28" s="2">
        <f>38.03+561.99+44.13</f>
        <v>644.15</v>
      </c>
      <c r="EW28" s="2">
        <f>57.85+730.79+338.88+380.72</f>
        <v>1508.24</v>
      </c>
      <c r="EX28" s="2">
        <f>33.86+78.71+11.8</f>
        <v>124.36999999999999</v>
      </c>
      <c r="EZ28" s="2">
        <f>299.93+623.14+12.69+262.44</f>
        <v>1198.2</v>
      </c>
      <c r="FA28" s="2">
        <f>63.66+584.72+59.76+75.56</f>
        <v>783.7</v>
      </c>
      <c r="FD28" s="14">
        <f t="shared" si="9"/>
        <v>0</v>
      </c>
      <c r="GI28" s="14">
        <f>SUM(GJ28:HN28)</f>
        <v>0</v>
      </c>
      <c r="HO28" s="14">
        <f>SUM(HP28:IT28)</f>
        <v>0</v>
      </c>
      <c r="IU28" s="14">
        <f t="shared" si="10"/>
        <v>0</v>
      </c>
      <c r="JZ28" s="14">
        <f>SUM(KA28:LE28)</f>
        <v>0</v>
      </c>
      <c r="LF28" s="14">
        <f t="shared" si="11"/>
        <v>0</v>
      </c>
      <c r="MK28" s="14">
        <f>SUM(ML28:NP28)</f>
        <v>0</v>
      </c>
    </row>
    <row r="29" spans="1:382" s="2" customFormat="1" x14ac:dyDescent="0.2">
      <c r="A29" s="1"/>
      <c r="B29" s="24" t="s">
        <v>11</v>
      </c>
      <c r="C29" s="14">
        <f>D29+AJ29+BM29+CS29+DX29+FD29+GI29+HO29+IU29+JZ29+LF29+MK29</f>
        <v>42113.58</v>
      </c>
      <c r="D29" s="14">
        <f t="shared" si="12"/>
        <v>15158.5</v>
      </c>
      <c r="G29" s="3"/>
      <c r="P29" s="3">
        <f>700+100</f>
        <v>800</v>
      </c>
      <c r="Q29" s="3">
        <f>11368.5+100</f>
        <v>11468.5</v>
      </c>
      <c r="R29" s="3">
        <f>400</f>
        <v>400</v>
      </c>
      <c r="S29" s="3">
        <f>200+100</f>
        <v>300</v>
      </c>
      <c r="T29" s="3">
        <v>100</v>
      </c>
      <c r="W29" s="3">
        <f>200+100</f>
        <v>300</v>
      </c>
      <c r="X29" s="3"/>
      <c r="Y29" s="3"/>
      <c r="Z29" s="3">
        <f>200+65</f>
        <v>265</v>
      </c>
      <c r="AA29" s="3"/>
      <c r="AD29" s="3">
        <v>225</v>
      </c>
      <c r="AE29" s="3">
        <v>300</v>
      </c>
      <c r="AF29" s="3">
        <v>300</v>
      </c>
      <c r="AG29" s="3">
        <f>300+200</f>
        <v>500</v>
      </c>
      <c r="AH29" s="3">
        <f>200</f>
        <v>200</v>
      </c>
      <c r="AJ29" s="14">
        <f t="shared" si="8"/>
        <v>3290</v>
      </c>
      <c r="AL29" s="2">
        <v>500</v>
      </c>
      <c r="AM29" s="2">
        <v>50</v>
      </c>
      <c r="AN29" s="2">
        <v>100</v>
      </c>
      <c r="AP29" s="2">
        <v>300</v>
      </c>
      <c r="AS29" s="2">
        <v>225</v>
      </c>
      <c r="AT29" s="2">
        <v>300</v>
      </c>
      <c r="AU29" s="2">
        <v>125</v>
      </c>
      <c r="AW29" s="2">
        <f>195+200</f>
        <v>395</v>
      </c>
      <c r="BA29" s="2">
        <v>5</v>
      </c>
      <c r="BB29" s="2">
        <v>300</v>
      </c>
      <c r="BD29" s="2">
        <v>100</v>
      </c>
      <c r="BG29" s="2">
        <v>35</v>
      </c>
      <c r="BH29" s="2">
        <v>110</v>
      </c>
      <c r="BI29" s="2">
        <v>150</v>
      </c>
      <c r="BJ29" s="2">
        <f>100+300+45+25+25</f>
        <v>495</v>
      </c>
      <c r="BK29" s="2">
        <v>100</v>
      </c>
      <c r="BM29" s="14">
        <f>SUM(BN29:CR29)</f>
        <v>3730</v>
      </c>
      <c r="BN29" s="2">
        <v>100</v>
      </c>
      <c r="BP29" s="2">
        <v>100</v>
      </c>
      <c r="BQ29" s="2">
        <v>55</v>
      </c>
      <c r="BR29" s="2">
        <v>200</v>
      </c>
      <c r="BS29" s="2">
        <v>95</v>
      </c>
      <c r="BV29" s="2">
        <v>100</v>
      </c>
      <c r="CC29" s="2">
        <v>100</v>
      </c>
      <c r="CD29" s="2">
        <v>155</v>
      </c>
      <c r="CE29" s="2">
        <v>125</v>
      </c>
      <c r="CF29" s="2">
        <v>50</v>
      </c>
      <c r="CJ29" s="2">
        <v>25</v>
      </c>
      <c r="CK29" s="2">
        <v>295</v>
      </c>
      <c r="CL29" s="2">
        <v>100</v>
      </c>
      <c r="CM29" s="2">
        <f>130+300</f>
        <v>430</v>
      </c>
      <c r="CN29" s="2">
        <v>100</v>
      </c>
      <c r="CQ29" s="2">
        <f>1400+300</f>
        <v>1700</v>
      </c>
      <c r="CS29" s="14">
        <f>SUM(CT29:DW29)</f>
        <v>17591.120000000003</v>
      </c>
      <c r="CV29" s="2">
        <v>490</v>
      </c>
      <c r="CY29" s="2">
        <v>100</v>
      </c>
      <c r="DA29" s="2">
        <v>75</v>
      </c>
      <c r="DF29" s="2">
        <v>100</v>
      </c>
      <c r="DG29" s="2">
        <v>100</v>
      </c>
      <c r="DH29" s="2">
        <v>150</v>
      </c>
      <c r="DI29" s="2">
        <f>260</f>
        <v>260</v>
      </c>
      <c r="DJ29" s="2">
        <f>105+14601.12</f>
        <v>14706.12</v>
      </c>
      <c r="DM29" s="2">
        <v>70</v>
      </c>
      <c r="DN29" s="2">
        <v>25</v>
      </c>
      <c r="DO29" s="2">
        <v>25</v>
      </c>
      <c r="DP29" s="2">
        <f>300+115</f>
        <v>415</v>
      </c>
      <c r="DQ29" s="2">
        <f>195</f>
        <v>195</v>
      </c>
      <c r="DT29" s="2">
        <f>300+300</f>
        <v>600</v>
      </c>
      <c r="DU29" s="2">
        <v>45</v>
      </c>
      <c r="DV29" s="2">
        <v>110</v>
      </c>
      <c r="DW29" s="2">
        <v>125</v>
      </c>
      <c r="DX29" s="14">
        <f>SUM(DY29:FC29)</f>
        <v>2343.96</v>
      </c>
      <c r="EI29" s="2">
        <v>100</v>
      </c>
      <c r="EJ29" s="2">
        <v>210</v>
      </c>
      <c r="EK29" s="2">
        <v>95</v>
      </c>
      <c r="EL29" s="2">
        <v>195</v>
      </c>
      <c r="EM29" s="2">
        <v>70</v>
      </c>
      <c r="EP29" s="2">
        <v>125</v>
      </c>
      <c r="EQ29" s="2">
        <v>65</v>
      </c>
      <c r="ER29" s="2">
        <v>25</v>
      </c>
      <c r="ES29" s="2">
        <v>105</v>
      </c>
      <c r="ET29" s="2">
        <v>100</v>
      </c>
      <c r="EW29" s="2">
        <f>300+155</f>
        <v>455</v>
      </c>
      <c r="EX29" s="2">
        <f>100+300</f>
        <v>400</v>
      </c>
      <c r="EZ29" s="2">
        <f>300+18.96</f>
        <v>318.95999999999998</v>
      </c>
      <c r="FA29" s="2">
        <f>80</f>
        <v>80</v>
      </c>
      <c r="FD29" s="14">
        <f t="shared" si="9"/>
        <v>0</v>
      </c>
      <c r="GI29" s="14">
        <f>SUM(GJ29:HN29)</f>
        <v>0</v>
      </c>
      <c r="HO29" s="14">
        <f>SUM(HP29:IT29)</f>
        <v>0</v>
      </c>
      <c r="IU29" s="14">
        <f t="shared" si="10"/>
        <v>0</v>
      </c>
      <c r="JZ29" s="14">
        <f>SUM(KA29:LE29)</f>
        <v>0</v>
      </c>
      <c r="LF29" s="14">
        <f t="shared" si="11"/>
        <v>0</v>
      </c>
      <c r="MK29" s="14">
        <f>SUM(ML29:NP29)</f>
        <v>0</v>
      </c>
    </row>
    <row r="30" spans="1:382" s="7" customFormat="1" x14ac:dyDescent="0.2">
      <c r="A30" s="1"/>
      <c r="B30" s="24"/>
    </row>
    <row r="31" spans="1:382" s="7" customFormat="1" x14ac:dyDescent="0.2">
      <c r="A31" s="1"/>
      <c r="B31" s="27" t="s">
        <v>79</v>
      </c>
      <c r="C31" s="13">
        <f>SUM(C32:C32)</f>
        <v>741715.62</v>
      </c>
      <c r="D31" s="13">
        <f>SUM(D32:D32)</f>
        <v>92671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13">
        <f>SUM(AJ32:AJ32)</f>
        <v>100020</v>
      </c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13">
        <f>SUM(BM32:BM32)</f>
        <v>248968.44</v>
      </c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13">
        <f>SUM(CS32:CS32)</f>
        <v>145209.76999999999</v>
      </c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13">
        <f>SUM(DX32:DX32)</f>
        <v>154846.41</v>
      </c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13">
        <f>SUM(FD32:FD32)</f>
        <v>0</v>
      </c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13">
        <f>SUM(GI32:GI32)</f>
        <v>0</v>
      </c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13">
        <f>SUM(HO32:HO32)</f>
        <v>0</v>
      </c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13">
        <f>SUM(IU32:IU32)</f>
        <v>0</v>
      </c>
      <c r="IV31" s="28"/>
      <c r="IW31" s="28"/>
      <c r="IX31" s="28"/>
      <c r="IY31" s="28"/>
      <c r="IZ31" s="28"/>
      <c r="JA31" s="28"/>
      <c r="JB31" s="28"/>
      <c r="JC31" s="28"/>
      <c r="JD31" s="28"/>
      <c r="JE31" s="28"/>
      <c r="JF31" s="28"/>
      <c r="JG31" s="28"/>
      <c r="JH31" s="28"/>
      <c r="JI31" s="28"/>
      <c r="JJ31" s="28"/>
      <c r="JK31" s="28"/>
      <c r="JL31" s="28"/>
      <c r="JM31" s="28"/>
      <c r="JN31" s="28"/>
      <c r="JO31" s="28"/>
      <c r="JP31" s="28"/>
      <c r="JQ31" s="28"/>
      <c r="JR31" s="28"/>
      <c r="JS31" s="28"/>
      <c r="JT31" s="28"/>
      <c r="JU31" s="28"/>
      <c r="JV31" s="28"/>
      <c r="JW31" s="28"/>
      <c r="JX31" s="28"/>
      <c r="JY31" s="28"/>
      <c r="JZ31" s="13">
        <f>SUM(JZ32:JZ32)</f>
        <v>0</v>
      </c>
      <c r="KA31" s="28"/>
      <c r="KB31" s="28"/>
      <c r="KC31" s="28"/>
      <c r="KD31" s="28"/>
      <c r="KE31" s="28"/>
      <c r="KF31" s="28"/>
      <c r="KG31" s="28"/>
      <c r="KH31" s="28"/>
      <c r="KI31" s="28"/>
      <c r="KJ31" s="28"/>
      <c r="KK31" s="28"/>
      <c r="KL31" s="28"/>
      <c r="KM31" s="28"/>
      <c r="KN31" s="28"/>
      <c r="KO31" s="28"/>
      <c r="KP31" s="28"/>
      <c r="KQ31" s="28"/>
      <c r="KR31" s="28"/>
      <c r="KS31" s="28"/>
      <c r="KT31" s="28"/>
      <c r="KU31" s="28"/>
      <c r="KV31" s="28"/>
      <c r="KW31" s="28"/>
      <c r="KX31" s="28"/>
      <c r="KY31" s="28"/>
      <c r="KZ31" s="28"/>
      <c r="LA31" s="28"/>
      <c r="LB31" s="28"/>
      <c r="LC31" s="28"/>
      <c r="LD31" s="28"/>
      <c r="LE31" s="28"/>
      <c r="LF31" s="13">
        <f>SUM(LF32:LF32)</f>
        <v>0</v>
      </c>
      <c r="LG31" s="28"/>
      <c r="LH31" s="28"/>
      <c r="LI31" s="28"/>
      <c r="LJ31" s="28"/>
      <c r="LK31" s="28"/>
      <c r="LL31" s="28"/>
      <c r="LM31" s="28"/>
      <c r="LN31" s="28"/>
      <c r="LO31" s="28"/>
      <c r="LP31" s="28"/>
      <c r="LQ31" s="28"/>
      <c r="LR31" s="28"/>
      <c r="LS31" s="28"/>
      <c r="LT31" s="28"/>
      <c r="LU31" s="28"/>
      <c r="LV31" s="28"/>
      <c r="LW31" s="28"/>
      <c r="LX31" s="28"/>
      <c r="LY31" s="28"/>
      <c r="LZ31" s="28"/>
      <c r="MA31" s="28"/>
      <c r="MB31" s="28"/>
      <c r="MC31" s="28"/>
      <c r="MD31" s="28"/>
      <c r="ME31" s="28"/>
      <c r="MF31" s="28"/>
      <c r="MG31" s="28"/>
      <c r="MH31" s="28"/>
      <c r="MI31" s="28"/>
      <c r="MJ31" s="28"/>
      <c r="MK31" s="13">
        <f>SUM(MK32:MK32)</f>
        <v>0</v>
      </c>
    </row>
    <row r="32" spans="1:382" s="2" customFormat="1" x14ac:dyDescent="0.2">
      <c r="A32" s="1"/>
      <c r="B32" s="24" t="s">
        <v>12</v>
      </c>
      <c r="C32" s="14">
        <f>D32+AJ32+BM32+CS32+DX32+FD32+GI32+HO32+IU32+JZ32+LF32+MK32</f>
        <v>741715.62</v>
      </c>
      <c r="D32" s="14">
        <f>SUM(E32:AI32)</f>
        <v>92671</v>
      </c>
      <c r="G32" s="3"/>
      <c r="P32" s="3"/>
      <c r="Q32" s="3"/>
      <c r="R32" s="3"/>
      <c r="S32" s="3"/>
      <c r="T32" s="3"/>
      <c r="W32" s="3">
        <v>92671</v>
      </c>
      <c r="X32" s="3"/>
      <c r="Y32" s="3"/>
      <c r="Z32" s="3"/>
      <c r="AA32" s="3"/>
      <c r="AD32" s="3"/>
      <c r="AE32" s="3"/>
      <c r="AF32" s="3"/>
      <c r="AG32" s="3"/>
      <c r="AH32" s="3"/>
      <c r="AJ32" s="14">
        <f>SUM(AK32:BL32)</f>
        <v>100020</v>
      </c>
      <c r="BA32" s="2">
        <v>100020</v>
      </c>
      <c r="BM32" s="14">
        <f>SUM(BN32:CR32)</f>
        <v>248968.44</v>
      </c>
      <c r="CF32" s="2">
        <f>53125.95+11307.06+61390.43</f>
        <v>125823.44</v>
      </c>
      <c r="CJ32" s="2">
        <v>123145</v>
      </c>
      <c r="CS32" s="14">
        <f>SUM(CT32:DW32)</f>
        <v>145209.76999999999</v>
      </c>
      <c r="DG32" s="2">
        <f>1423.27</f>
        <v>1423.27</v>
      </c>
      <c r="DH32" s="2">
        <f>931.34</f>
        <v>931.34</v>
      </c>
      <c r="DI32" s="2">
        <v>138197.94</v>
      </c>
      <c r="DM32" s="2">
        <v>4657.22</v>
      </c>
      <c r="DX32" s="14">
        <f>SUM(DY32:FC32)</f>
        <v>154846.41</v>
      </c>
      <c r="EP32" s="2">
        <f>16632.66+138213.75</f>
        <v>154846.41</v>
      </c>
      <c r="FD32" s="14">
        <f t="shared" si="9"/>
        <v>0</v>
      </c>
      <c r="GI32" s="14">
        <f>SUM(GJ32:HN32)</f>
        <v>0</v>
      </c>
      <c r="HO32" s="14">
        <f>SUM(HP32:IT32)</f>
        <v>0</v>
      </c>
      <c r="IU32" s="14">
        <f t="shared" si="10"/>
        <v>0</v>
      </c>
      <c r="JZ32" s="14">
        <f>SUM(KA32:LE32)</f>
        <v>0</v>
      </c>
      <c r="LF32" s="14">
        <f t="shared" si="11"/>
        <v>0</v>
      </c>
      <c r="MK32" s="14">
        <f>SUM(ML32:NP32)</f>
        <v>0</v>
      </c>
    </row>
    <row r="33" spans="1:349" s="7" customFormat="1" x14ac:dyDescent="0.2">
      <c r="A33" s="1"/>
      <c r="B33" s="24"/>
    </row>
    <row r="34" spans="1:349" s="7" customFormat="1" x14ac:dyDescent="0.2">
      <c r="A34" s="1"/>
      <c r="B34" s="27" t="s">
        <v>80</v>
      </c>
      <c r="C34" s="13">
        <f>SUM(C35:C41)</f>
        <v>4370078.8699999992</v>
      </c>
      <c r="D34" s="13">
        <f>SUM(D35:D41)</f>
        <v>652355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13">
        <f>SUM(AJ35:AJ41)</f>
        <v>721554.41</v>
      </c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13">
        <f>SUM(BM35:BM41)</f>
        <v>847586.51</v>
      </c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13">
        <f>SUM(CS35:CS41)</f>
        <v>1027262.9</v>
      </c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13">
        <f>SUM(DX35:DX41)</f>
        <v>1121320.0499999998</v>
      </c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13">
        <f>SUM(FD35:FD41)</f>
        <v>0</v>
      </c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13">
        <f>SUM(GI35:GI41)</f>
        <v>0</v>
      </c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13">
        <f>SUM(HO35:HO41)</f>
        <v>0</v>
      </c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13">
        <f>SUM(IU35:IU41)</f>
        <v>0</v>
      </c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13">
        <f>SUM(JZ35:JZ41)</f>
        <v>0</v>
      </c>
      <c r="KA34" s="28"/>
      <c r="KB34" s="28"/>
      <c r="KC34" s="28"/>
      <c r="KD34" s="28"/>
      <c r="KE34" s="28"/>
      <c r="KF34" s="28"/>
      <c r="KG34" s="28"/>
      <c r="KH34" s="28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13">
        <f>SUM(LF35:LF41)</f>
        <v>0</v>
      </c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13">
        <f>SUM(MK35:MK41)</f>
        <v>0</v>
      </c>
    </row>
    <row r="35" spans="1:349" s="2" customFormat="1" x14ac:dyDescent="0.2">
      <c r="A35" s="1"/>
      <c r="B35" s="24" t="s">
        <v>13</v>
      </c>
      <c r="C35" s="14">
        <f t="shared" ref="C35:C41" si="13">D35+AJ35+BM35+CS35+DX35+FD35+GI35+HO35+IU35+JZ35+LF35+MK35</f>
        <v>3299059.05</v>
      </c>
      <c r="D35" s="14">
        <f t="shared" si="12"/>
        <v>469640</v>
      </c>
      <c r="G35" s="3"/>
      <c r="P35" s="3">
        <f>231583</f>
        <v>231583</v>
      </c>
      <c r="Q35" s="3"/>
      <c r="R35" s="3"/>
      <c r="S35" s="3"/>
      <c r="T35" s="3"/>
      <c r="W35" s="3"/>
      <c r="X35" s="3"/>
      <c r="Y35" s="3"/>
      <c r="Z35" s="3">
        <v>238057</v>
      </c>
      <c r="AA35" s="3"/>
      <c r="AD35" s="3"/>
      <c r="AE35" s="3"/>
      <c r="AF35" s="3"/>
      <c r="AG35" s="3"/>
      <c r="AH35" s="3"/>
      <c r="AJ35" s="14">
        <f t="shared" si="8"/>
        <v>468980.5</v>
      </c>
      <c r="AO35" s="2">
        <v>251980.5</v>
      </c>
      <c r="BG35" s="2">
        <v>217000</v>
      </c>
      <c r="BM35" s="14">
        <f t="shared" ref="BM35:BM41" si="14">SUM(BN35:CR35)</f>
        <v>618683.51</v>
      </c>
      <c r="BR35" s="2">
        <v>269583.51</v>
      </c>
      <c r="CE35" s="2">
        <v>131100</v>
      </c>
      <c r="CF35" s="2">
        <v>218000</v>
      </c>
      <c r="CS35" s="14">
        <f t="shared" ref="CS35:CS45" si="15">SUM(CT35:DW35)</f>
        <v>839552.14</v>
      </c>
      <c r="CU35" s="2">
        <v>175000</v>
      </c>
      <c r="CY35" s="2">
        <f>292623.38</f>
        <v>292623.38</v>
      </c>
      <c r="DG35" s="2">
        <v>30000</v>
      </c>
      <c r="DM35" s="2">
        <f>66500+198314</f>
        <v>264814</v>
      </c>
      <c r="DW35" s="2">
        <f>17114.76+60000</f>
        <v>77114.759999999995</v>
      </c>
      <c r="DX35" s="14">
        <f t="shared" ref="DX35:DX41" si="16">SUM(DY35:FC35)</f>
        <v>902202.89999999991</v>
      </c>
      <c r="EI35" s="2">
        <v>280547.69</v>
      </c>
      <c r="EJ35" s="2">
        <v>175000</v>
      </c>
      <c r="EK35" s="2">
        <f>18581.6</f>
        <v>18581.599999999999</v>
      </c>
      <c r="ER35" s="2">
        <f>227000+102110.91</f>
        <v>329110.91000000003</v>
      </c>
      <c r="EX35" s="2">
        <v>98962.7</v>
      </c>
      <c r="FD35" s="14">
        <f t="shared" si="9"/>
        <v>0</v>
      </c>
      <c r="GI35" s="14">
        <f t="shared" ref="GI35:GI41" si="17">SUM(GJ35:HN35)</f>
        <v>0</v>
      </c>
      <c r="HO35" s="14">
        <f t="shared" ref="HO35:HO41" si="18">SUM(HP35:IT35)</f>
        <v>0</v>
      </c>
      <c r="IU35" s="14">
        <f t="shared" si="10"/>
        <v>0</v>
      </c>
      <c r="JZ35" s="14">
        <f t="shared" ref="JZ35:JZ41" si="19">SUM(KA35:LE35)</f>
        <v>0</v>
      </c>
      <c r="LF35" s="14">
        <f t="shared" si="11"/>
        <v>0</v>
      </c>
      <c r="MK35" s="14">
        <f t="shared" ref="MK35:MK41" si="20">SUM(ML35:NP35)</f>
        <v>0</v>
      </c>
    </row>
    <row r="36" spans="1:349" x14ac:dyDescent="0.2">
      <c r="A36" s="1" t="s">
        <v>72</v>
      </c>
      <c r="B36" s="15" t="s">
        <v>38</v>
      </c>
      <c r="C36" s="14">
        <f t="shared" si="13"/>
        <v>380050</v>
      </c>
      <c r="D36" s="14">
        <f>SUM(E36:AI36)</f>
        <v>30000</v>
      </c>
      <c r="G36" s="3"/>
      <c r="P36" s="3"/>
      <c r="Q36" s="3"/>
      <c r="R36" s="3"/>
      <c r="S36" s="3"/>
      <c r="T36" s="3"/>
      <c r="W36" s="3"/>
      <c r="X36" s="3"/>
      <c r="Y36" s="3"/>
      <c r="Z36" s="3"/>
      <c r="AA36" s="3"/>
      <c r="AD36" s="3"/>
      <c r="AE36" s="3"/>
      <c r="AF36" s="3"/>
      <c r="AG36" s="3">
        <v>30000</v>
      </c>
      <c r="AH36" s="3"/>
      <c r="AJ36" s="14">
        <f>SUM(AK36:BL36)</f>
        <v>110000</v>
      </c>
      <c r="AT36" s="2">
        <v>70000</v>
      </c>
      <c r="AW36" s="2">
        <v>40000</v>
      </c>
      <c r="BM36" s="14">
        <f t="shared" si="14"/>
        <v>192920</v>
      </c>
      <c r="BW36" s="2">
        <v>2920</v>
      </c>
      <c r="BZ36" s="2">
        <v>100000</v>
      </c>
      <c r="CC36" s="2">
        <v>40000</v>
      </c>
      <c r="CJ36" s="1">
        <v>50000</v>
      </c>
      <c r="CS36" s="14">
        <f>SUM(CT36:DW36)</f>
        <v>1000</v>
      </c>
      <c r="CT36" s="1">
        <v>1000</v>
      </c>
      <c r="DX36" s="14">
        <f t="shared" si="16"/>
        <v>46130</v>
      </c>
      <c r="EE36" s="1">
        <v>40000</v>
      </c>
      <c r="ER36" s="1">
        <v>6130</v>
      </c>
      <c r="FD36" s="14">
        <f>SUM(FE36:GH36)</f>
        <v>0</v>
      </c>
      <c r="GI36" s="14">
        <f t="shared" si="17"/>
        <v>0</v>
      </c>
      <c r="HO36" s="14">
        <f t="shared" si="18"/>
        <v>0</v>
      </c>
      <c r="IU36" s="14">
        <f>SUM(IV36:JY36)</f>
        <v>0</v>
      </c>
      <c r="JE36" s="1"/>
      <c r="JZ36" s="14">
        <f t="shared" si="19"/>
        <v>0</v>
      </c>
      <c r="LF36" s="14">
        <f>SUM(LG36:MJ36)</f>
        <v>0</v>
      </c>
      <c r="MK36" s="14">
        <f t="shared" si="20"/>
        <v>0</v>
      </c>
    </row>
    <row r="37" spans="1:349" s="2" customFormat="1" x14ac:dyDescent="0.2">
      <c r="A37" s="1"/>
      <c r="B37" s="24" t="s">
        <v>81</v>
      </c>
      <c r="C37" s="14">
        <f t="shared" si="13"/>
        <v>307945.86</v>
      </c>
      <c r="D37" s="14">
        <f t="shared" si="12"/>
        <v>76200</v>
      </c>
      <c r="G37" s="3"/>
      <c r="P37" s="3"/>
      <c r="Q37" s="3"/>
      <c r="R37" s="3">
        <v>76200</v>
      </c>
      <c r="S37" s="3"/>
      <c r="T37" s="3"/>
      <c r="W37" s="3"/>
      <c r="X37" s="3"/>
      <c r="Y37" s="3"/>
      <c r="Z37" s="3"/>
      <c r="AA37" s="3"/>
      <c r="AD37" s="3"/>
      <c r="AE37" s="3"/>
      <c r="AF37" s="3"/>
      <c r="AG37" s="3"/>
      <c r="AH37" s="3"/>
      <c r="AJ37" s="14">
        <f t="shared" si="8"/>
        <v>72212.899999999994</v>
      </c>
      <c r="AO37" s="2">
        <v>11236.88</v>
      </c>
      <c r="BB37" s="2">
        <v>60976.02</v>
      </c>
      <c r="BM37" s="14">
        <f t="shared" si="14"/>
        <v>0</v>
      </c>
      <c r="CS37" s="14">
        <f t="shared" si="15"/>
        <v>76336.64999999998</v>
      </c>
      <c r="DI37" s="2">
        <v>46605.84</v>
      </c>
      <c r="DJ37" s="2">
        <f>2094.08+3215.64+10649.66+13127.89</f>
        <v>29087.269999999997</v>
      </c>
      <c r="DM37" s="2">
        <f>643.54</f>
        <v>643.54</v>
      </c>
      <c r="DX37" s="14">
        <f t="shared" si="16"/>
        <v>83196.31</v>
      </c>
      <c r="EQ37" s="2">
        <f>22726.31+60470</f>
        <v>83196.31</v>
      </c>
      <c r="FD37" s="14">
        <f t="shared" si="9"/>
        <v>0</v>
      </c>
      <c r="GI37" s="14">
        <f t="shared" si="17"/>
        <v>0</v>
      </c>
      <c r="HO37" s="14">
        <f t="shared" si="18"/>
        <v>0</v>
      </c>
      <c r="IU37" s="14">
        <f t="shared" si="10"/>
        <v>0</v>
      </c>
      <c r="JZ37" s="14">
        <f t="shared" si="19"/>
        <v>0</v>
      </c>
      <c r="LF37" s="14">
        <f t="shared" si="11"/>
        <v>0</v>
      </c>
      <c r="MK37" s="14">
        <f t="shared" si="20"/>
        <v>0</v>
      </c>
    </row>
    <row r="38" spans="1:349" s="2" customFormat="1" x14ac:dyDescent="0.2">
      <c r="A38" s="1"/>
      <c r="B38" s="24" t="s">
        <v>82</v>
      </c>
      <c r="C38" s="14">
        <f t="shared" si="13"/>
        <v>243728.7</v>
      </c>
      <c r="D38" s="14">
        <f>SUM(E38:AI38)</f>
        <v>55538</v>
      </c>
      <c r="G38" s="3"/>
      <c r="P38" s="3"/>
      <c r="Q38" s="3"/>
      <c r="R38" s="3">
        <v>55538</v>
      </c>
      <c r="S38" s="3"/>
      <c r="T38" s="3"/>
      <c r="W38" s="3"/>
      <c r="X38" s="3"/>
      <c r="Y38" s="3"/>
      <c r="Z38" s="3"/>
      <c r="AA38" s="3"/>
      <c r="AD38" s="3"/>
      <c r="AE38" s="3"/>
      <c r="AF38" s="3"/>
      <c r="AG38" s="3"/>
      <c r="AH38" s="3"/>
      <c r="AJ38" s="14">
        <f>SUM(AK38:BL38)</f>
        <v>52761.01</v>
      </c>
      <c r="BB38" s="2">
        <v>52761.01</v>
      </c>
      <c r="BM38" s="14">
        <f t="shared" si="14"/>
        <v>0</v>
      </c>
      <c r="CS38" s="14">
        <f>SUM(CT38:DW38)</f>
        <v>63504.99</v>
      </c>
      <c r="DI38" s="2">
        <v>51650.7</v>
      </c>
      <c r="DJ38" s="2">
        <f>9028.36</f>
        <v>9028.36</v>
      </c>
      <c r="DM38" s="2">
        <f>2825.93</f>
        <v>2825.93</v>
      </c>
      <c r="DX38" s="14">
        <f t="shared" si="16"/>
        <v>71924.7</v>
      </c>
      <c r="EQ38" s="2">
        <f>19632.25+52292.45</f>
        <v>71924.7</v>
      </c>
      <c r="FD38" s="14">
        <f>SUM(FE38:GH38)</f>
        <v>0</v>
      </c>
      <c r="GI38" s="14">
        <f t="shared" si="17"/>
        <v>0</v>
      </c>
      <c r="HO38" s="14">
        <f t="shared" si="18"/>
        <v>0</v>
      </c>
      <c r="IU38" s="14">
        <f>SUM(IV38:JY38)</f>
        <v>0</v>
      </c>
      <c r="JZ38" s="14">
        <f t="shared" si="19"/>
        <v>0</v>
      </c>
      <c r="LF38" s="14">
        <f>SUM(LG38:MJ38)</f>
        <v>0</v>
      </c>
      <c r="MK38" s="14">
        <f t="shared" si="20"/>
        <v>0</v>
      </c>
    </row>
    <row r="39" spans="1:349" s="2" customFormat="1" x14ac:dyDescent="0.2">
      <c r="A39" s="7"/>
      <c r="B39" s="24" t="s">
        <v>83</v>
      </c>
      <c r="C39" s="14">
        <f t="shared" si="13"/>
        <v>38498.26</v>
      </c>
      <c r="D39" s="14">
        <f>SUM(E39:AI39)</f>
        <v>11900</v>
      </c>
      <c r="G39" s="3"/>
      <c r="P39" s="3"/>
      <c r="Q39" s="3"/>
      <c r="R39" s="3">
        <v>11900</v>
      </c>
      <c r="S39" s="3"/>
      <c r="T39" s="3"/>
      <c r="W39" s="3"/>
      <c r="X39" s="3"/>
      <c r="Y39" s="3"/>
      <c r="Z39" s="3"/>
      <c r="AA39" s="3"/>
      <c r="AD39" s="3"/>
      <c r="AE39" s="3"/>
      <c r="AF39" s="3"/>
      <c r="AG39" s="3"/>
      <c r="AH39" s="3"/>
      <c r="AJ39" s="14">
        <f>SUM(AK39:BL39)</f>
        <v>0</v>
      </c>
      <c r="BM39" s="14">
        <f t="shared" si="14"/>
        <v>0</v>
      </c>
      <c r="CS39" s="14">
        <f>SUM(CT39:DW39)</f>
        <v>11010.12</v>
      </c>
      <c r="DI39" s="2">
        <v>11010.12</v>
      </c>
      <c r="DX39" s="14">
        <f t="shared" si="16"/>
        <v>15588.14</v>
      </c>
      <c r="EQ39" s="2">
        <f>4450.5+11137.64</f>
        <v>15588.14</v>
      </c>
      <c r="FD39" s="14">
        <f>SUM(FE39:GH39)</f>
        <v>0</v>
      </c>
      <c r="GI39" s="14">
        <f t="shared" si="17"/>
        <v>0</v>
      </c>
      <c r="HO39" s="14">
        <f t="shared" si="18"/>
        <v>0</v>
      </c>
      <c r="IU39" s="14">
        <f>SUM(IV39:JY39)</f>
        <v>0</v>
      </c>
      <c r="JZ39" s="14">
        <f t="shared" si="19"/>
        <v>0</v>
      </c>
      <c r="LF39" s="14">
        <f>SUM(LG39:MJ39)</f>
        <v>0</v>
      </c>
      <c r="MK39" s="14">
        <f t="shared" si="20"/>
        <v>0</v>
      </c>
    </row>
    <row r="40" spans="1:349" x14ac:dyDescent="0.2">
      <c r="B40" s="15" t="s">
        <v>37</v>
      </c>
      <c r="C40" s="14">
        <f t="shared" si="13"/>
        <v>88587</v>
      </c>
      <c r="D40" s="14">
        <f>SUM(E40:AI40)</f>
        <v>9077</v>
      </c>
      <c r="G40" s="3"/>
      <c r="P40" s="3"/>
      <c r="Q40" s="3">
        <v>9077</v>
      </c>
      <c r="R40" s="3"/>
      <c r="S40" s="3"/>
      <c r="T40" s="3"/>
      <c r="W40" s="3"/>
      <c r="X40" s="3"/>
      <c r="Y40" s="3"/>
      <c r="Z40" s="3"/>
      <c r="AA40" s="3"/>
      <c r="AD40" s="3"/>
      <c r="AE40" s="3"/>
      <c r="AF40" s="3"/>
      <c r="AG40" s="3"/>
      <c r="AH40" s="3"/>
      <c r="AJ40" s="14">
        <f>SUM(AK40:BL40)</f>
        <v>17600</v>
      </c>
      <c r="BB40" s="2">
        <v>17600</v>
      </c>
      <c r="BM40" s="14">
        <f t="shared" si="14"/>
        <v>26051</v>
      </c>
      <c r="BW40" s="2">
        <v>26051</v>
      </c>
      <c r="CS40" s="14">
        <f>SUM(CT40:DW40)</f>
        <v>35859</v>
      </c>
      <c r="DF40" s="1">
        <v>35859</v>
      </c>
      <c r="DX40" s="14">
        <f t="shared" si="16"/>
        <v>0</v>
      </c>
      <c r="FD40" s="14">
        <f>SUM(FE40:GH40)</f>
        <v>0</v>
      </c>
      <c r="GI40" s="14">
        <f t="shared" si="17"/>
        <v>0</v>
      </c>
      <c r="HO40" s="14">
        <f t="shared" si="18"/>
        <v>0</v>
      </c>
      <c r="IU40" s="14">
        <f>SUM(IV40:JY40)</f>
        <v>0</v>
      </c>
      <c r="JE40" s="1"/>
      <c r="JZ40" s="14">
        <f t="shared" si="19"/>
        <v>0</v>
      </c>
      <c r="LF40" s="14">
        <f>SUM(LG40:MJ40)</f>
        <v>0</v>
      </c>
      <c r="MK40" s="14">
        <f t="shared" si="20"/>
        <v>0</v>
      </c>
    </row>
    <row r="41" spans="1:349" x14ac:dyDescent="0.2">
      <c r="B41" s="15" t="s">
        <v>39</v>
      </c>
      <c r="C41" s="14">
        <f t="shared" si="13"/>
        <v>12210</v>
      </c>
      <c r="D41" s="14">
        <f>SUM(E41:AI41)</f>
        <v>0</v>
      </c>
      <c r="G41" s="3"/>
      <c r="P41" s="3"/>
      <c r="Q41" s="3"/>
      <c r="R41" s="3"/>
      <c r="S41" s="3"/>
      <c r="T41" s="3"/>
      <c r="W41" s="3"/>
      <c r="X41" s="3"/>
      <c r="Y41" s="3"/>
      <c r="Z41" s="3"/>
      <c r="AA41" s="3"/>
      <c r="AD41" s="3"/>
      <c r="AE41" s="3"/>
      <c r="AF41" s="3"/>
      <c r="AG41" s="3"/>
      <c r="AH41" s="3"/>
      <c r="AJ41" s="14">
        <f>SUM(AK41:BL41)</f>
        <v>0</v>
      </c>
      <c r="BM41" s="14">
        <f t="shared" si="14"/>
        <v>9932</v>
      </c>
      <c r="CD41" s="1">
        <v>3910</v>
      </c>
      <c r="CE41" s="1">
        <v>6022</v>
      </c>
      <c r="CS41" s="14">
        <f>SUM(CT41:DW41)</f>
        <v>0</v>
      </c>
      <c r="DX41" s="14">
        <f t="shared" si="16"/>
        <v>2278</v>
      </c>
      <c r="EM41" s="1">
        <v>1700</v>
      </c>
      <c r="EQ41" s="1">
        <v>578</v>
      </c>
      <c r="FD41" s="14">
        <f>SUM(FE41:GH41)</f>
        <v>0</v>
      </c>
      <c r="GI41" s="14">
        <f t="shared" si="17"/>
        <v>0</v>
      </c>
      <c r="HO41" s="14">
        <f t="shared" si="18"/>
        <v>0</v>
      </c>
      <c r="IU41" s="14">
        <f>SUM(IV41:JY41)</f>
        <v>0</v>
      </c>
      <c r="JE41" s="1"/>
      <c r="JZ41" s="14">
        <f t="shared" si="19"/>
        <v>0</v>
      </c>
      <c r="LF41" s="14">
        <f>SUM(LG41:MJ41)</f>
        <v>0</v>
      </c>
      <c r="MK41" s="14">
        <f t="shared" si="20"/>
        <v>0</v>
      </c>
    </row>
    <row r="42" spans="1:349" s="8" customFormat="1" x14ac:dyDescent="0.2">
      <c r="A42" s="1"/>
      <c r="B42" s="2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</row>
    <row r="43" spans="1:349" s="8" customFormat="1" x14ac:dyDescent="0.2">
      <c r="A43" s="1"/>
      <c r="B43" s="27" t="s">
        <v>84</v>
      </c>
      <c r="C43" s="13">
        <f>SUM(C44:C47)</f>
        <v>263858.3</v>
      </c>
      <c r="D43" s="13">
        <f>SUM(D44:D47)</f>
        <v>69601.59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13">
        <f>SUM(AJ44:AJ47)</f>
        <v>62454.740000000005</v>
      </c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13">
        <f>SUM(BM44:BM47)</f>
        <v>60442.979999999996</v>
      </c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13">
        <f>SUM(CS44:CS47)</f>
        <v>29852.02</v>
      </c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13">
        <f>SUM(DX44:DX47)</f>
        <v>41506.97</v>
      </c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13">
        <f>SUM(FD44:FD47)</f>
        <v>0</v>
      </c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13">
        <f>SUM(GI44:GI47)</f>
        <v>0</v>
      </c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13">
        <f>SUM(HO44:HO47)</f>
        <v>0</v>
      </c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13">
        <f>SUM(IU44:IU47)</f>
        <v>0</v>
      </c>
      <c r="IV43" s="28"/>
      <c r="IW43" s="28"/>
      <c r="IX43" s="28"/>
      <c r="IY43" s="28"/>
      <c r="IZ43" s="28"/>
      <c r="JA43" s="28"/>
      <c r="JB43" s="28"/>
      <c r="JC43" s="28"/>
      <c r="JD43" s="28"/>
      <c r="JE43" s="28"/>
      <c r="JF43" s="28"/>
      <c r="JG43" s="28"/>
      <c r="JH43" s="28"/>
      <c r="JI43" s="28"/>
      <c r="JJ43" s="28"/>
      <c r="JK43" s="28"/>
      <c r="JL43" s="28"/>
      <c r="JM43" s="28"/>
      <c r="JN43" s="28"/>
      <c r="JO43" s="28"/>
      <c r="JP43" s="28"/>
      <c r="JQ43" s="28"/>
      <c r="JR43" s="28"/>
      <c r="JS43" s="28"/>
      <c r="JT43" s="28"/>
      <c r="JU43" s="28"/>
      <c r="JV43" s="28"/>
      <c r="JW43" s="28"/>
      <c r="JX43" s="28"/>
      <c r="JY43" s="28"/>
      <c r="JZ43" s="13">
        <f>SUM(JZ44:JZ47)</f>
        <v>0</v>
      </c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13">
        <f>SUM(LF44:LF47)</f>
        <v>0</v>
      </c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13">
        <f>SUM(MK44:MK47)</f>
        <v>0</v>
      </c>
    </row>
    <row r="44" spans="1:349" s="2" customFormat="1" x14ac:dyDescent="0.2">
      <c r="A44" s="1"/>
      <c r="B44" s="24" t="s">
        <v>85</v>
      </c>
      <c r="C44" s="14">
        <f t="shared" ref="C44:C47" si="21">D44+AJ44+BM44+CS44+DX44+FD44+GI44+HO44+IU44+JZ44+LF44+MK44</f>
        <v>23540.080000000002</v>
      </c>
      <c r="D44" s="14">
        <f t="shared" si="12"/>
        <v>5885.02</v>
      </c>
      <c r="G44" s="3"/>
      <c r="P44" s="3">
        <v>5885.02</v>
      </c>
      <c r="Q44" s="3"/>
      <c r="R44" s="3"/>
      <c r="S44" s="3"/>
      <c r="T44" s="3"/>
      <c r="W44" s="3"/>
      <c r="X44" s="3"/>
      <c r="Y44" s="3"/>
      <c r="Z44" s="3"/>
      <c r="AA44" s="3"/>
      <c r="AD44" s="3"/>
      <c r="AE44" s="3"/>
      <c r="AF44" s="3"/>
      <c r="AG44" s="3"/>
      <c r="AH44" s="3"/>
      <c r="AJ44" s="14">
        <f t="shared" si="8"/>
        <v>5885.02</v>
      </c>
      <c r="AS44" s="2">
        <v>5885.02</v>
      </c>
      <c r="BM44" s="14">
        <f>SUM(BN44:CR44)</f>
        <v>5885.02</v>
      </c>
      <c r="CJ44" s="2">
        <v>5885.02</v>
      </c>
      <c r="CS44" s="14">
        <f t="shared" si="15"/>
        <v>5885.02</v>
      </c>
      <c r="DA44" s="2">
        <v>5885.02</v>
      </c>
      <c r="DX44" s="14">
        <f>SUM(DY44:FC44)</f>
        <v>0</v>
      </c>
      <c r="FD44" s="14">
        <f t="shared" si="9"/>
        <v>0</v>
      </c>
      <c r="GI44" s="14">
        <f>SUM(GJ44:HN44)</f>
        <v>0</v>
      </c>
      <c r="HO44" s="14">
        <f>SUM(HP44:IT44)</f>
        <v>0</v>
      </c>
      <c r="IU44" s="14">
        <f t="shared" si="10"/>
        <v>0</v>
      </c>
      <c r="JZ44" s="14">
        <f>SUM(KA44:LE44)</f>
        <v>0</v>
      </c>
      <c r="LF44" s="14">
        <f t="shared" si="11"/>
        <v>0</v>
      </c>
      <c r="MK44" s="14">
        <f>SUM(ML44:NP44)</f>
        <v>0</v>
      </c>
    </row>
    <row r="45" spans="1:349" s="2" customFormat="1" x14ac:dyDescent="0.2">
      <c r="A45" s="1"/>
      <c r="B45" s="24" t="s">
        <v>14</v>
      </c>
      <c r="C45" s="14">
        <f t="shared" si="21"/>
        <v>186351.22</v>
      </c>
      <c r="D45" s="14">
        <f t="shared" si="12"/>
        <v>57716.57</v>
      </c>
      <c r="G45" s="3"/>
      <c r="P45" s="3"/>
      <c r="Q45" s="3"/>
      <c r="R45" s="3"/>
      <c r="S45" s="3"/>
      <c r="T45" s="3"/>
      <c r="W45" s="3"/>
      <c r="X45" s="3"/>
      <c r="Y45" s="3"/>
      <c r="Z45" s="3"/>
      <c r="AA45" s="3"/>
      <c r="AD45" s="3">
        <v>57716.57</v>
      </c>
      <c r="AE45" s="3"/>
      <c r="AF45" s="3"/>
      <c r="AG45" s="3"/>
      <c r="AH45" s="3"/>
      <c r="AJ45" s="14">
        <f t="shared" si="8"/>
        <v>50569.72</v>
      </c>
      <c r="BJ45" s="2">
        <v>50569.72</v>
      </c>
      <c r="BM45" s="14">
        <f>SUM(BN45:CR45)</f>
        <v>45557.96</v>
      </c>
      <c r="CK45" s="2">
        <v>45557.96</v>
      </c>
      <c r="CS45" s="14">
        <f t="shared" si="15"/>
        <v>0</v>
      </c>
      <c r="DX45" s="14">
        <f>SUM(DY45:FC45)</f>
        <v>32506.97</v>
      </c>
      <c r="ET45" s="2">
        <v>32506.97</v>
      </c>
      <c r="FD45" s="14">
        <f t="shared" si="9"/>
        <v>0</v>
      </c>
      <c r="GI45" s="14">
        <f>SUM(GJ45:HN45)</f>
        <v>0</v>
      </c>
      <c r="HO45" s="14">
        <f>SUM(HP45:IT45)</f>
        <v>0</v>
      </c>
      <c r="IU45" s="14">
        <f t="shared" si="10"/>
        <v>0</v>
      </c>
      <c r="JZ45" s="14">
        <f>SUM(KA45:LE45)</f>
        <v>0</v>
      </c>
      <c r="LF45" s="14">
        <f t="shared" si="11"/>
        <v>0</v>
      </c>
      <c r="MK45" s="14">
        <f>SUM(ML45:NP45)</f>
        <v>0</v>
      </c>
    </row>
    <row r="46" spans="1:349" x14ac:dyDescent="0.2">
      <c r="B46" s="15" t="s">
        <v>49</v>
      </c>
      <c r="C46" s="14">
        <f t="shared" si="21"/>
        <v>17967</v>
      </c>
      <c r="D46" s="14">
        <f>SUM(E46:AI46)</f>
        <v>0</v>
      </c>
      <c r="G46" s="3"/>
      <c r="P46" s="3"/>
      <c r="Q46" s="3"/>
      <c r="R46" s="3"/>
      <c r="S46" s="3"/>
      <c r="T46" s="3"/>
      <c r="W46" s="3"/>
      <c r="X46" s="3"/>
      <c r="Y46" s="3"/>
      <c r="Z46" s="3"/>
      <c r="AA46" s="3"/>
      <c r="AD46" s="3"/>
      <c r="AE46" s="3"/>
      <c r="AF46" s="3"/>
      <c r="AG46" s="3"/>
      <c r="AH46" s="3"/>
      <c r="AJ46" s="14">
        <f>SUM(AK46:BL46)</f>
        <v>0</v>
      </c>
      <c r="BM46" s="14">
        <f>SUM(BN46:CR46)</f>
        <v>0</v>
      </c>
      <c r="CS46" s="14">
        <f>SUM(CT46:DW46)</f>
        <v>17967</v>
      </c>
      <c r="DN46" s="1">
        <v>17967</v>
      </c>
      <c r="DX46" s="14">
        <f>SUM(DY46:FC46)</f>
        <v>0</v>
      </c>
      <c r="FD46" s="14">
        <f>SUM(FE46:GH46)</f>
        <v>0</v>
      </c>
      <c r="GI46" s="14">
        <f>SUM(GJ46:HN46)</f>
        <v>0</v>
      </c>
      <c r="HO46" s="14">
        <f>SUM(HP46:IT46)</f>
        <v>0</v>
      </c>
      <c r="IU46" s="14">
        <f>SUM(IV46:JY46)</f>
        <v>0</v>
      </c>
      <c r="JE46" s="1"/>
      <c r="JZ46" s="14">
        <f>SUM(KA46:LE46)</f>
        <v>0</v>
      </c>
      <c r="LF46" s="14">
        <f>SUM(LG46:MJ46)</f>
        <v>0</v>
      </c>
      <c r="MK46" s="14">
        <f>SUM(ML46:NP46)</f>
        <v>0</v>
      </c>
    </row>
    <row r="47" spans="1:349" x14ac:dyDescent="0.2">
      <c r="B47" s="15" t="s">
        <v>15</v>
      </c>
      <c r="C47" s="14">
        <f t="shared" si="21"/>
        <v>36000</v>
      </c>
      <c r="D47" s="14">
        <f>SUM(E47:AI47)</f>
        <v>6000</v>
      </c>
      <c r="G47" s="3"/>
      <c r="N47" s="2">
        <v>6000</v>
      </c>
      <c r="P47" s="3"/>
      <c r="Q47" s="3"/>
      <c r="R47" s="3"/>
      <c r="S47" s="3"/>
      <c r="T47" s="3"/>
      <c r="W47" s="3"/>
      <c r="X47" s="3"/>
      <c r="Y47" s="3"/>
      <c r="Z47" s="3"/>
      <c r="AA47" s="3"/>
      <c r="AD47" s="3"/>
      <c r="AE47" s="3"/>
      <c r="AF47" s="3"/>
      <c r="AG47" s="3"/>
      <c r="AH47" s="3"/>
      <c r="AJ47" s="14">
        <f>SUM(AK47:BL47)</f>
        <v>6000</v>
      </c>
      <c r="AP47" s="2">
        <v>6000</v>
      </c>
      <c r="BM47" s="14">
        <f>SUM(BN47:CR47)</f>
        <v>9000</v>
      </c>
      <c r="BO47" s="2">
        <v>3000</v>
      </c>
      <c r="BV47" s="2">
        <v>3000</v>
      </c>
      <c r="CM47" s="1">
        <v>3000</v>
      </c>
      <c r="CS47" s="14">
        <f>SUM(CT47:DW47)</f>
        <v>6000</v>
      </c>
      <c r="CV47" s="1">
        <v>3000</v>
      </c>
      <c r="DJ47" s="1">
        <v>3000</v>
      </c>
      <c r="DX47" s="14">
        <f>SUM(DY47:FC47)</f>
        <v>9000</v>
      </c>
      <c r="DY47" s="1">
        <v>3000</v>
      </c>
      <c r="EM47" s="1">
        <v>3000</v>
      </c>
      <c r="EP47" s="1">
        <v>3000</v>
      </c>
      <c r="FD47" s="14">
        <f>SUM(FE47:GH47)</f>
        <v>0</v>
      </c>
      <c r="GI47" s="14">
        <f>SUM(GJ47:HN47)</f>
        <v>0</v>
      </c>
      <c r="HO47" s="14">
        <f>SUM(HP47:IT47)</f>
        <v>0</v>
      </c>
      <c r="IU47" s="14">
        <f>SUM(IV47:JY47)</f>
        <v>0</v>
      </c>
      <c r="JE47" s="1"/>
      <c r="JZ47" s="14">
        <f>SUM(KA47:LE47)</f>
        <v>0</v>
      </c>
      <c r="LF47" s="14">
        <f>SUM(LG47:MJ47)</f>
        <v>0</v>
      </c>
      <c r="MK47" s="14">
        <f>SUM(ML47:NP47)</f>
        <v>0</v>
      </c>
    </row>
    <row r="48" spans="1:349" s="7" customFormat="1" x14ac:dyDescent="0.2">
      <c r="A48" s="1"/>
      <c r="B48" s="24"/>
    </row>
    <row r="49" spans="1:349" s="7" customFormat="1" x14ac:dyDescent="0.2">
      <c r="A49" s="1"/>
      <c r="B49" s="27" t="s">
        <v>86</v>
      </c>
      <c r="C49" s="13">
        <f>SUM(C50:C55)</f>
        <v>54575</v>
      </c>
      <c r="D49" s="13">
        <f>SUM(D50:D55)</f>
        <v>6950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13">
        <f>SUM(AJ50:AJ55)</f>
        <v>36155</v>
      </c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13">
        <f>SUM(BM50:BM55)</f>
        <v>4180</v>
      </c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13">
        <f>SUM(CS50:CS55)</f>
        <v>5530</v>
      </c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13">
        <f>SUM(DX50:DX55)</f>
        <v>1760</v>
      </c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13">
        <f>SUM(FD50:FD55)</f>
        <v>0</v>
      </c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  <c r="FU49" s="28"/>
      <c r="FV49" s="28"/>
      <c r="FW49" s="28"/>
      <c r="FX49" s="28"/>
      <c r="FY49" s="28"/>
      <c r="FZ49" s="28"/>
      <c r="GA49" s="28"/>
      <c r="GB49" s="28"/>
      <c r="GC49" s="28"/>
      <c r="GD49" s="28"/>
      <c r="GE49" s="28"/>
      <c r="GF49" s="28"/>
      <c r="GG49" s="28"/>
      <c r="GH49" s="28"/>
      <c r="GI49" s="13">
        <f>SUM(GI50:GI55)</f>
        <v>0</v>
      </c>
      <c r="GJ49" s="28"/>
      <c r="GK49" s="28"/>
      <c r="GL49" s="28"/>
      <c r="GM49" s="28"/>
      <c r="GN49" s="28"/>
      <c r="GO49" s="28"/>
      <c r="GP49" s="28"/>
      <c r="GQ49" s="28"/>
      <c r="GR49" s="28"/>
      <c r="GS49" s="28"/>
      <c r="GT49" s="28"/>
      <c r="GU49" s="28"/>
      <c r="GV49" s="28"/>
      <c r="GW49" s="28"/>
      <c r="GX49" s="28"/>
      <c r="GY49" s="28"/>
      <c r="GZ49" s="28"/>
      <c r="HA49" s="28"/>
      <c r="HB49" s="28"/>
      <c r="HC49" s="28"/>
      <c r="HD49" s="28"/>
      <c r="HE49" s="28"/>
      <c r="HF49" s="28"/>
      <c r="HG49" s="28"/>
      <c r="HH49" s="28"/>
      <c r="HI49" s="28"/>
      <c r="HJ49" s="28"/>
      <c r="HK49" s="28"/>
      <c r="HL49" s="28"/>
      <c r="HM49" s="28"/>
      <c r="HN49" s="28"/>
      <c r="HO49" s="13">
        <f>SUM(HO50:HO55)</f>
        <v>0</v>
      </c>
      <c r="HP49" s="28"/>
      <c r="HQ49" s="28"/>
      <c r="HR49" s="28"/>
      <c r="HS49" s="28"/>
      <c r="HT49" s="28"/>
      <c r="HU49" s="28"/>
      <c r="HV49" s="28"/>
      <c r="HW49" s="28"/>
      <c r="HX49" s="28"/>
      <c r="HY49" s="28"/>
      <c r="HZ49" s="28"/>
      <c r="IA49" s="28"/>
      <c r="IB49" s="28"/>
      <c r="IC49" s="28"/>
      <c r="ID49" s="28"/>
      <c r="IE49" s="28"/>
      <c r="IF49" s="28"/>
      <c r="IG49" s="28"/>
      <c r="IH49" s="28"/>
      <c r="II49" s="28"/>
      <c r="IJ49" s="28"/>
      <c r="IK49" s="28"/>
      <c r="IL49" s="28"/>
      <c r="IM49" s="28"/>
      <c r="IN49" s="28"/>
      <c r="IO49" s="28"/>
      <c r="IP49" s="28"/>
      <c r="IQ49" s="28"/>
      <c r="IR49" s="28"/>
      <c r="IS49" s="28"/>
      <c r="IT49" s="28"/>
      <c r="IU49" s="13">
        <f>SUM(IU50:IU55)</f>
        <v>0</v>
      </c>
      <c r="IV49" s="28"/>
      <c r="IW49" s="28"/>
      <c r="IX49" s="28"/>
      <c r="IY49" s="28"/>
      <c r="IZ49" s="28"/>
      <c r="JA49" s="28"/>
      <c r="JB49" s="28"/>
      <c r="JC49" s="28"/>
      <c r="JD49" s="28"/>
      <c r="JE49" s="28"/>
      <c r="JF49" s="28"/>
      <c r="JG49" s="28"/>
      <c r="JH49" s="28"/>
      <c r="JI49" s="28"/>
      <c r="JJ49" s="28"/>
      <c r="JK49" s="28"/>
      <c r="JL49" s="28"/>
      <c r="JM49" s="28"/>
      <c r="JN49" s="28"/>
      <c r="JO49" s="28"/>
      <c r="JP49" s="28"/>
      <c r="JQ49" s="28"/>
      <c r="JR49" s="28"/>
      <c r="JS49" s="28"/>
      <c r="JT49" s="28"/>
      <c r="JU49" s="28"/>
      <c r="JV49" s="28"/>
      <c r="JW49" s="28"/>
      <c r="JX49" s="28"/>
      <c r="JY49" s="28"/>
      <c r="JZ49" s="13">
        <f>SUM(JZ50:JZ55)</f>
        <v>0</v>
      </c>
      <c r="KA49" s="28"/>
      <c r="KB49" s="28"/>
      <c r="KC49" s="28"/>
      <c r="KD49" s="28"/>
      <c r="KE49" s="28"/>
      <c r="KF49" s="28"/>
      <c r="KG49" s="28"/>
      <c r="KH49" s="28"/>
      <c r="KI49" s="28"/>
      <c r="KJ49" s="28"/>
      <c r="KK49" s="28"/>
      <c r="KL49" s="28"/>
      <c r="KM49" s="28"/>
      <c r="KN49" s="28"/>
      <c r="KO49" s="28"/>
      <c r="KP49" s="28"/>
      <c r="KQ49" s="28"/>
      <c r="KR49" s="28"/>
      <c r="KS49" s="28"/>
      <c r="KT49" s="28"/>
      <c r="KU49" s="28"/>
      <c r="KV49" s="28"/>
      <c r="KW49" s="28"/>
      <c r="KX49" s="28"/>
      <c r="KY49" s="28"/>
      <c r="KZ49" s="28"/>
      <c r="LA49" s="28"/>
      <c r="LB49" s="28"/>
      <c r="LC49" s="28"/>
      <c r="LD49" s="28"/>
      <c r="LE49" s="28"/>
      <c r="LF49" s="13">
        <f>SUM(LF50:LF55)</f>
        <v>0</v>
      </c>
      <c r="LG49" s="28"/>
      <c r="LH49" s="28"/>
      <c r="LI49" s="28"/>
      <c r="LJ49" s="28"/>
      <c r="LK49" s="28"/>
      <c r="LL49" s="28"/>
      <c r="LM49" s="28"/>
      <c r="LN49" s="28"/>
      <c r="LO49" s="28"/>
      <c r="LP49" s="28"/>
      <c r="LQ49" s="28"/>
      <c r="LR49" s="28"/>
      <c r="LS49" s="28"/>
      <c r="LT49" s="28"/>
      <c r="LU49" s="28"/>
      <c r="LV49" s="28"/>
      <c r="LW49" s="28"/>
      <c r="LX49" s="28"/>
      <c r="LY49" s="28"/>
      <c r="LZ49" s="28"/>
      <c r="MA49" s="28"/>
      <c r="MB49" s="28"/>
      <c r="MC49" s="28"/>
      <c r="MD49" s="28"/>
      <c r="ME49" s="28"/>
      <c r="MF49" s="28"/>
      <c r="MG49" s="28"/>
      <c r="MH49" s="28"/>
      <c r="MI49" s="28"/>
      <c r="MJ49" s="28"/>
      <c r="MK49" s="13">
        <f>SUM(MK50:MK55)</f>
        <v>0</v>
      </c>
    </row>
    <row r="50" spans="1:349" s="2" customFormat="1" x14ac:dyDescent="0.2">
      <c r="A50" s="1"/>
      <c r="B50" s="24" t="s">
        <v>89</v>
      </c>
      <c r="C50" s="14">
        <f t="shared" ref="C50:C55" si="22">D50+AJ50+BM50+CS50+DX50+FD50+GI50+HO50+IU50+JZ50+LF50+MK50</f>
        <v>5850</v>
      </c>
      <c r="D50" s="14">
        <f t="shared" ref="D50:D55" si="23">SUM(E50:AI50)</f>
        <v>5850</v>
      </c>
      <c r="G50" s="3"/>
      <c r="P50" s="3">
        <v>5850</v>
      </c>
      <c r="Q50" s="3"/>
      <c r="R50" s="3"/>
      <c r="S50" s="3"/>
      <c r="T50" s="3"/>
      <c r="W50" s="3"/>
      <c r="X50" s="3"/>
      <c r="Y50" s="3"/>
      <c r="Z50" s="3"/>
      <c r="AA50" s="3"/>
      <c r="AD50" s="3"/>
      <c r="AE50" s="3"/>
      <c r="AF50" s="3"/>
      <c r="AG50" s="3"/>
      <c r="AH50" s="3"/>
      <c r="AJ50" s="14">
        <f t="shared" ref="AJ50:AJ55" si="24">SUM(AK50:BL50)</f>
        <v>0</v>
      </c>
      <c r="BM50" s="14">
        <f t="shared" ref="BM50:BM55" si="25">SUM(BN50:CR50)</f>
        <v>0</v>
      </c>
      <c r="CS50" s="14">
        <f t="shared" ref="CS50:CS55" si="26">SUM(CT50:DW50)</f>
        <v>0</v>
      </c>
      <c r="DX50" s="14">
        <f t="shared" ref="DX50:DX55" si="27">SUM(DY50:FC50)</f>
        <v>0</v>
      </c>
      <c r="FD50" s="14">
        <f t="shared" ref="FD50:FD55" si="28">SUM(FE50:GH50)</f>
        <v>0</v>
      </c>
      <c r="GI50" s="14">
        <f t="shared" ref="GI50:GI55" si="29">SUM(GJ50:HN50)</f>
        <v>0</v>
      </c>
      <c r="HO50" s="14">
        <f t="shared" ref="HO50:HO55" si="30">SUM(HP50:IT50)</f>
        <v>0</v>
      </c>
      <c r="IU50" s="14">
        <f t="shared" ref="IU50:IU55" si="31">SUM(IV50:JY50)</f>
        <v>0</v>
      </c>
      <c r="JZ50" s="14">
        <f t="shared" ref="JZ50:JZ55" si="32">SUM(KA50:LE50)</f>
        <v>0</v>
      </c>
      <c r="LF50" s="14">
        <f t="shared" ref="LF50:LF55" si="33">SUM(LG50:MJ50)</f>
        <v>0</v>
      </c>
      <c r="MK50" s="14">
        <f t="shared" ref="MK50:MK55" si="34">SUM(ML50:NP50)</f>
        <v>0</v>
      </c>
    </row>
    <row r="51" spans="1:349" s="2" customFormat="1" x14ac:dyDescent="0.2">
      <c r="A51" s="1"/>
      <c r="B51" s="24" t="s">
        <v>88</v>
      </c>
      <c r="C51" s="14">
        <f t="shared" si="22"/>
        <v>7260</v>
      </c>
      <c r="D51" s="14">
        <f t="shared" si="23"/>
        <v>1100</v>
      </c>
      <c r="G51" s="3"/>
      <c r="P51" s="3"/>
      <c r="Q51" s="3"/>
      <c r="R51" s="3"/>
      <c r="S51" s="3"/>
      <c r="T51" s="3"/>
      <c r="W51" s="3">
        <v>1100</v>
      </c>
      <c r="X51" s="3"/>
      <c r="Y51" s="3"/>
      <c r="Z51" s="3"/>
      <c r="AA51" s="3"/>
      <c r="AD51" s="3"/>
      <c r="AE51" s="3"/>
      <c r="AF51" s="3"/>
      <c r="AG51" s="3"/>
      <c r="AH51" s="3"/>
      <c r="AJ51" s="14">
        <f t="shared" si="24"/>
        <v>2640</v>
      </c>
      <c r="AS51" s="2">
        <v>660</v>
      </c>
      <c r="BH51" s="2">
        <v>1980</v>
      </c>
      <c r="BM51" s="14">
        <f t="shared" si="25"/>
        <v>880</v>
      </c>
      <c r="CD51" s="2">
        <v>880</v>
      </c>
      <c r="CS51" s="14">
        <f t="shared" si="26"/>
        <v>880</v>
      </c>
      <c r="DV51" s="2">
        <v>880</v>
      </c>
      <c r="DX51" s="14">
        <f t="shared" si="27"/>
        <v>1760</v>
      </c>
      <c r="EQ51" s="2">
        <v>880</v>
      </c>
      <c r="ES51" s="2">
        <v>880</v>
      </c>
      <c r="FD51" s="14">
        <f t="shared" si="28"/>
        <v>0</v>
      </c>
      <c r="GI51" s="14">
        <f t="shared" si="29"/>
        <v>0</v>
      </c>
      <c r="HO51" s="14">
        <f t="shared" si="30"/>
        <v>0</v>
      </c>
      <c r="IU51" s="14">
        <f t="shared" si="31"/>
        <v>0</v>
      </c>
      <c r="JZ51" s="14">
        <f t="shared" si="32"/>
        <v>0</v>
      </c>
      <c r="LF51" s="14">
        <f t="shared" si="33"/>
        <v>0</v>
      </c>
      <c r="MK51" s="14">
        <f t="shared" si="34"/>
        <v>0</v>
      </c>
    </row>
    <row r="52" spans="1:349" s="2" customFormat="1" x14ac:dyDescent="0.2">
      <c r="A52" s="1"/>
      <c r="B52" s="15" t="s">
        <v>47</v>
      </c>
      <c r="C52" s="14">
        <f t="shared" si="22"/>
        <v>21500</v>
      </c>
      <c r="D52" s="14">
        <f t="shared" si="23"/>
        <v>0</v>
      </c>
      <c r="G52" s="3"/>
      <c r="P52" s="3"/>
      <c r="Q52" s="3"/>
      <c r="R52" s="3"/>
      <c r="S52" s="3"/>
      <c r="T52" s="3"/>
      <c r="W52" s="3"/>
      <c r="X52" s="3"/>
      <c r="Y52" s="3"/>
      <c r="Z52" s="3"/>
      <c r="AA52" s="3"/>
      <c r="AD52" s="3"/>
      <c r="AE52" s="3"/>
      <c r="AF52" s="3"/>
      <c r="AG52" s="3"/>
      <c r="AH52" s="3"/>
      <c r="AJ52" s="14">
        <f t="shared" si="24"/>
        <v>20000</v>
      </c>
      <c r="AW52" s="2">
        <v>20000</v>
      </c>
      <c r="BM52" s="14">
        <f t="shared" si="25"/>
        <v>1500</v>
      </c>
      <c r="BZ52" s="2">
        <v>1500</v>
      </c>
      <c r="CS52" s="14">
        <f t="shared" si="26"/>
        <v>0</v>
      </c>
      <c r="DX52" s="14">
        <f t="shared" si="27"/>
        <v>0</v>
      </c>
      <c r="FD52" s="14">
        <f t="shared" si="28"/>
        <v>0</v>
      </c>
      <c r="GI52" s="14">
        <f t="shared" si="29"/>
        <v>0</v>
      </c>
      <c r="HO52" s="14">
        <f t="shared" si="30"/>
        <v>0</v>
      </c>
      <c r="IU52" s="14">
        <f t="shared" si="31"/>
        <v>0</v>
      </c>
      <c r="JZ52" s="14">
        <f t="shared" si="32"/>
        <v>0</v>
      </c>
      <c r="LF52" s="14">
        <f t="shared" si="33"/>
        <v>0</v>
      </c>
      <c r="MK52" s="14">
        <f t="shared" si="34"/>
        <v>0</v>
      </c>
    </row>
    <row r="53" spans="1:349" s="2" customFormat="1" x14ac:dyDescent="0.2">
      <c r="A53" s="1"/>
      <c r="B53" s="15" t="s">
        <v>26</v>
      </c>
      <c r="C53" s="14">
        <f t="shared" si="22"/>
        <v>13365</v>
      </c>
      <c r="D53" s="14">
        <f t="shared" si="23"/>
        <v>0</v>
      </c>
      <c r="G53" s="3"/>
      <c r="P53" s="3"/>
      <c r="Q53" s="3"/>
      <c r="R53" s="3"/>
      <c r="S53" s="3"/>
      <c r="T53" s="3"/>
      <c r="W53" s="3"/>
      <c r="X53" s="3"/>
      <c r="Y53" s="3"/>
      <c r="Z53" s="3"/>
      <c r="AA53" s="3"/>
      <c r="AD53" s="3"/>
      <c r="AE53" s="3"/>
      <c r="AF53" s="3"/>
      <c r="AG53" s="3"/>
      <c r="AH53" s="3"/>
      <c r="AJ53" s="14">
        <f t="shared" si="24"/>
        <v>8315</v>
      </c>
      <c r="BC53" s="2">
        <v>5000</v>
      </c>
      <c r="BG53" s="2">
        <v>3315</v>
      </c>
      <c r="BM53" s="14">
        <f t="shared" si="25"/>
        <v>400</v>
      </c>
      <c r="CD53" s="1">
        <v>400</v>
      </c>
      <c r="CS53" s="14">
        <f t="shared" si="26"/>
        <v>4650</v>
      </c>
      <c r="DA53" s="1">
        <v>4650</v>
      </c>
      <c r="DX53" s="14">
        <f t="shared" si="27"/>
        <v>0</v>
      </c>
      <c r="FD53" s="14">
        <f t="shared" si="28"/>
        <v>0</v>
      </c>
      <c r="GI53" s="14">
        <f t="shared" si="29"/>
        <v>0</v>
      </c>
      <c r="HO53" s="14">
        <f t="shared" si="30"/>
        <v>0</v>
      </c>
      <c r="IU53" s="14">
        <f t="shared" si="31"/>
        <v>0</v>
      </c>
      <c r="JZ53" s="14">
        <f t="shared" si="32"/>
        <v>0</v>
      </c>
      <c r="LF53" s="14">
        <f t="shared" si="33"/>
        <v>0</v>
      </c>
      <c r="MK53" s="14">
        <f t="shared" si="34"/>
        <v>0</v>
      </c>
    </row>
    <row r="54" spans="1:349" s="2" customFormat="1" x14ac:dyDescent="0.2">
      <c r="A54" s="1"/>
      <c r="B54" s="15" t="s">
        <v>27</v>
      </c>
      <c r="C54" s="14">
        <f t="shared" si="22"/>
        <v>3600</v>
      </c>
      <c r="D54" s="14">
        <f t="shared" si="23"/>
        <v>0</v>
      </c>
      <c r="G54" s="3"/>
      <c r="P54" s="3"/>
      <c r="Q54" s="3"/>
      <c r="R54" s="3"/>
      <c r="S54" s="3"/>
      <c r="T54" s="3"/>
      <c r="W54" s="3"/>
      <c r="X54" s="3"/>
      <c r="Y54" s="3"/>
      <c r="Z54" s="3"/>
      <c r="AA54" s="3"/>
      <c r="AD54" s="3"/>
      <c r="AE54" s="3"/>
      <c r="AF54" s="3"/>
      <c r="AG54" s="3"/>
      <c r="AH54" s="3"/>
      <c r="AJ54" s="14">
        <f t="shared" si="24"/>
        <v>3600</v>
      </c>
      <c r="BG54" s="2">
        <v>3600</v>
      </c>
      <c r="BM54" s="14">
        <f t="shared" si="25"/>
        <v>0</v>
      </c>
      <c r="CS54" s="14">
        <f t="shared" si="26"/>
        <v>0</v>
      </c>
      <c r="DX54" s="14">
        <f t="shared" si="27"/>
        <v>0</v>
      </c>
      <c r="FD54" s="14">
        <f t="shared" si="28"/>
        <v>0</v>
      </c>
      <c r="GI54" s="14">
        <f t="shared" si="29"/>
        <v>0</v>
      </c>
      <c r="HO54" s="14">
        <f t="shared" si="30"/>
        <v>0</v>
      </c>
      <c r="IU54" s="14">
        <f t="shared" si="31"/>
        <v>0</v>
      </c>
      <c r="JZ54" s="14">
        <f t="shared" si="32"/>
        <v>0</v>
      </c>
      <c r="LF54" s="14">
        <f t="shared" si="33"/>
        <v>0</v>
      </c>
      <c r="MK54" s="14">
        <f t="shared" si="34"/>
        <v>0</v>
      </c>
    </row>
    <row r="55" spans="1:349" s="2" customFormat="1" x14ac:dyDescent="0.2">
      <c r="A55" s="1"/>
      <c r="B55" s="15" t="s">
        <v>99</v>
      </c>
      <c r="C55" s="14">
        <f t="shared" si="22"/>
        <v>3000</v>
      </c>
      <c r="D55" s="14">
        <f t="shared" si="23"/>
        <v>0</v>
      </c>
      <c r="G55" s="3"/>
      <c r="P55" s="3"/>
      <c r="Q55" s="3"/>
      <c r="R55" s="3"/>
      <c r="S55" s="3"/>
      <c r="T55" s="3"/>
      <c r="W55" s="3"/>
      <c r="X55" s="3"/>
      <c r="Y55" s="3"/>
      <c r="Z55" s="3"/>
      <c r="AA55" s="3"/>
      <c r="AD55" s="3"/>
      <c r="AE55" s="3"/>
      <c r="AF55" s="3"/>
      <c r="AG55" s="3"/>
      <c r="AH55" s="3"/>
      <c r="AJ55" s="14">
        <f t="shared" si="24"/>
        <v>1600</v>
      </c>
      <c r="BA55" s="2">
        <v>1600</v>
      </c>
      <c r="BM55" s="14">
        <f t="shared" si="25"/>
        <v>1400</v>
      </c>
      <c r="CM55" s="2">
        <v>1400</v>
      </c>
      <c r="CS55" s="14">
        <f t="shared" si="26"/>
        <v>0</v>
      </c>
      <c r="DX55" s="14">
        <f t="shared" si="27"/>
        <v>0</v>
      </c>
      <c r="FD55" s="14">
        <f t="shared" si="28"/>
        <v>0</v>
      </c>
      <c r="GI55" s="14">
        <f t="shared" si="29"/>
        <v>0</v>
      </c>
      <c r="HO55" s="14">
        <f t="shared" si="30"/>
        <v>0</v>
      </c>
      <c r="IU55" s="14">
        <f t="shared" si="31"/>
        <v>0</v>
      </c>
      <c r="JZ55" s="14">
        <f t="shared" si="32"/>
        <v>0</v>
      </c>
      <c r="LF55" s="14">
        <f t="shared" si="33"/>
        <v>0</v>
      </c>
      <c r="MK55" s="14">
        <f t="shared" si="34"/>
        <v>0</v>
      </c>
    </row>
    <row r="56" spans="1:349" s="7" customFormat="1" x14ac:dyDescent="0.2">
      <c r="A56" s="1"/>
      <c r="B56" s="24"/>
    </row>
    <row r="57" spans="1:349" s="7" customFormat="1" x14ac:dyDescent="0.2">
      <c r="A57" s="1"/>
      <c r="B57" s="27" t="s">
        <v>95</v>
      </c>
      <c r="C57" s="13">
        <f>SUM(C58:C59)</f>
        <v>227937</v>
      </c>
      <c r="D57" s="13">
        <f>SUM(D58:D59)</f>
        <v>20000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13">
        <f>SUM(AJ58:AJ59)</f>
        <v>2400</v>
      </c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13">
        <f>SUM(BM58:BM59)</f>
        <v>69486</v>
      </c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13">
        <f>SUM(CS58:CS59)</f>
        <v>80237</v>
      </c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13">
        <f>SUM(DX58:DX59)</f>
        <v>55814</v>
      </c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13">
        <f>SUM(FD58:FD59)</f>
        <v>0</v>
      </c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  <c r="FS57" s="28"/>
      <c r="FT57" s="28"/>
      <c r="FU57" s="28"/>
      <c r="FV57" s="28"/>
      <c r="FW57" s="28"/>
      <c r="FX57" s="28"/>
      <c r="FY57" s="28"/>
      <c r="FZ57" s="28"/>
      <c r="GA57" s="28"/>
      <c r="GB57" s="28"/>
      <c r="GC57" s="28"/>
      <c r="GD57" s="28"/>
      <c r="GE57" s="28"/>
      <c r="GF57" s="28"/>
      <c r="GG57" s="28"/>
      <c r="GH57" s="28"/>
      <c r="GI57" s="13">
        <f>SUM(GI58:GI59)</f>
        <v>0</v>
      </c>
      <c r="GJ57" s="28"/>
      <c r="GK57" s="28"/>
      <c r="GL57" s="28"/>
      <c r="GM57" s="28"/>
      <c r="GN57" s="28"/>
      <c r="GO57" s="28"/>
      <c r="GP57" s="28"/>
      <c r="GQ57" s="28"/>
      <c r="GR57" s="28"/>
      <c r="GS57" s="28"/>
      <c r="GT57" s="28"/>
      <c r="GU57" s="28"/>
      <c r="GV57" s="28"/>
      <c r="GW57" s="28"/>
      <c r="GX57" s="28"/>
      <c r="GY57" s="28"/>
      <c r="GZ57" s="28"/>
      <c r="HA57" s="28"/>
      <c r="HB57" s="28"/>
      <c r="HC57" s="28"/>
      <c r="HD57" s="28"/>
      <c r="HE57" s="28"/>
      <c r="HF57" s="28"/>
      <c r="HG57" s="28"/>
      <c r="HH57" s="28"/>
      <c r="HI57" s="28"/>
      <c r="HJ57" s="28"/>
      <c r="HK57" s="28"/>
      <c r="HL57" s="28"/>
      <c r="HM57" s="28"/>
      <c r="HN57" s="28"/>
      <c r="HO57" s="13">
        <f>SUM(HO58:HO59)</f>
        <v>0</v>
      </c>
      <c r="HP57" s="28"/>
      <c r="HQ57" s="28"/>
      <c r="HR57" s="28"/>
      <c r="HS57" s="28"/>
      <c r="HT57" s="28"/>
      <c r="HU57" s="28"/>
      <c r="HV57" s="28"/>
      <c r="HW57" s="28"/>
      <c r="HX57" s="28"/>
      <c r="HY57" s="28"/>
      <c r="HZ57" s="28"/>
      <c r="IA57" s="28"/>
      <c r="IB57" s="28"/>
      <c r="IC57" s="28"/>
      <c r="ID57" s="28"/>
      <c r="IE57" s="28"/>
      <c r="IF57" s="28"/>
      <c r="IG57" s="28"/>
      <c r="IH57" s="28"/>
      <c r="II57" s="28"/>
      <c r="IJ57" s="28"/>
      <c r="IK57" s="28"/>
      <c r="IL57" s="28"/>
      <c r="IM57" s="28"/>
      <c r="IN57" s="28"/>
      <c r="IO57" s="28"/>
      <c r="IP57" s="28"/>
      <c r="IQ57" s="28"/>
      <c r="IR57" s="28"/>
      <c r="IS57" s="28"/>
      <c r="IT57" s="28"/>
      <c r="IU57" s="13">
        <f>SUM(IU58:IU59)</f>
        <v>0</v>
      </c>
      <c r="IV57" s="28"/>
      <c r="IW57" s="28"/>
      <c r="IX57" s="28"/>
      <c r="IY57" s="28"/>
      <c r="IZ57" s="28"/>
      <c r="JA57" s="28"/>
      <c r="JB57" s="28"/>
      <c r="JC57" s="28"/>
      <c r="JD57" s="28"/>
      <c r="JE57" s="28"/>
      <c r="JF57" s="28"/>
      <c r="JG57" s="28"/>
      <c r="JH57" s="28"/>
      <c r="JI57" s="28"/>
      <c r="JJ57" s="28"/>
      <c r="JK57" s="28"/>
      <c r="JL57" s="28"/>
      <c r="JM57" s="28"/>
      <c r="JN57" s="28"/>
      <c r="JO57" s="28"/>
      <c r="JP57" s="28"/>
      <c r="JQ57" s="28"/>
      <c r="JR57" s="28"/>
      <c r="JS57" s="28"/>
      <c r="JT57" s="28"/>
      <c r="JU57" s="28"/>
      <c r="JV57" s="28"/>
      <c r="JW57" s="28"/>
      <c r="JX57" s="28"/>
      <c r="JY57" s="28"/>
      <c r="JZ57" s="13">
        <f>SUM(JZ58:JZ59)</f>
        <v>0</v>
      </c>
      <c r="KA57" s="28"/>
      <c r="KB57" s="28"/>
      <c r="KC57" s="28"/>
      <c r="KD57" s="28"/>
      <c r="KE57" s="28"/>
      <c r="KF57" s="28"/>
      <c r="KG57" s="28"/>
      <c r="KH57" s="28"/>
      <c r="KI57" s="28"/>
      <c r="KJ57" s="28"/>
      <c r="KK57" s="28"/>
      <c r="KL57" s="28"/>
      <c r="KM57" s="28"/>
      <c r="KN57" s="28"/>
      <c r="KO57" s="28"/>
      <c r="KP57" s="28"/>
      <c r="KQ57" s="28"/>
      <c r="KR57" s="28"/>
      <c r="KS57" s="28"/>
      <c r="KT57" s="28"/>
      <c r="KU57" s="28"/>
      <c r="KV57" s="28"/>
      <c r="KW57" s="28"/>
      <c r="KX57" s="28"/>
      <c r="KY57" s="28"/>
      <c r="KZ57" s="28"/>
      <c r="LA57" s="28"/>
      <c r="LB57" s="28"/>
      <c r="LC57" s="28"/>
      <c r="LD57" s="28"/>
      <c r="LE57" s="28"/>
      <c r="LF57" s="13">
        <f>SUM(LF58:LF59)</f>
        <v>0</v>
      </c>
      <c r="LG57" s="28"/>
      <c r="LH57" s="28"/>
      <c r="LI57" s="28"/>
      <c r="LJ57" s="28"/>
      <c r="LK57" s="28"/>
      <c r="LL57" s="28"/>
      <c r="LM57" s="28"/>
      <c r="LN57" s="28"/>
      <c r="LO57" s="28"/>
      <c r="LP57" s="28"/>
      <c r="LQ57" s="28"/>
      <c r="LR57" s="28"/>
      <c r="LS57" s="28"/>
      <c r="LT57" s="28"/>
      <c r="LU57" s="28"/>
      <c r="LV57" s="28"/>
      <c r="LW57" s="28"/>
      <c r="LX57" s="28"/>
      <c r="LY57" s="28"/>
      <c r="LZ57" s="28"/>
      <c r="MA57" s="28"/>
      <c r="MB57" s="28"/>
      <c r="MC57" s="28"/>
      <c r="MD57" s="28"/>
      <c r="ME57" s="28"/>
      <c r="MF57" s="28"/>
      <c r="MG57" s="28"/>
      <c r="MH57" s="28"/>
      <c r="MI57" s="28"/>
      <c r="MJ57" s="28"/>
      <c r="MK57" s="13">
        <f>SUM(MK58:MK59)</f>
        <v>0</v>
      </c>
    </row>
    <row r="58" spans="1:349" x14ac:dyDescent="0.2">
      <c r="B58" s="15" t="s">
        <v>42</v>
      </c>
      <c r="C58" s="14">
        <f t="shared" ref="C58:C59" si="35">D58+AJ58+BM58+CS58+DX58+FD58+GI58+HO58+IU58+JZ58+LF58+MK58</f>
        <v>72737</v>
      </c>
      <c r="D58" s="14">
        <f>SUM(E58:AI58)</f>
        <v>0</v>
      </c>
      <c r="G58" s="3"/>
      <c r="P58" s="3"/>
      <c r="Q58" s="3"/>
      <c r="R58" s="3"/>
      <c r="S58" s="3"/>
      <c r="T58" s="3"/>
      <c r="W58" s="3"/>
      <c r="X58" s="3"/>
      <c r="Y58" s="3"/>
      <c r="Z58" s="3"/>
      <c r="AA58" s="3"/>
      <c r="AD58" s="3"/>
      <c r="AE58" s="3"/>
      <c r="AF58" s="3"/>
      <c r="AG58" s="3"/>
      <c r="AH58" s="3"/>
      <c r="AJ58" s="14">
        <f>SUM(AK58:BL58)</f>
        <v>400</v>
      </c>
      <c r="AU58" s="2">
        <v>400</v>
      </c>
      <c r="BM58" s="14">
        <f>SUM(BN58:CR58)</f>
        <v>44486</v>
      </c>
      <c r="BQ58" s="2">
        <v>1500</v>
      </c>
      <c r="BS58" s="2">
        <v>15000</v>
      </c>
      <c r="BZ58" s="2">
        <v>4500</v>
      </c>
      <c r="CE58" s="1">
        <f>5000+563+423</f>
        <v>5986</v>
      </c>
      <c r="CJ58" s="1">
        <v>3500</v>
      </c>
      <c r="CK58" s="1">
        <v>3000</v>
      </c>
      <c r="CM58" s="1">
        <v>3000</v>
      </c>
      <c r="CQ58" s="1">
        <v>8000</v>
      </c>
      <c r="CS58" s="14">
        <f>SUM(CT58:DW58)</f>
        <v>13237</v>
      </c>
      <c r="CT58" s="1">
        <v>3000</v>
      </c>
      <c r="CY58" s="1">
        <v>237</v>
      </c>
      <c r="DA58" s="1">
        <v>3000</v>
      </c>
      <c r="DC58" s="1">
        <v>3000</v>
      </c>
      <c r="DQ58" s="1">
        <v>1000</v>
      </c>
      <c r="DV58" s="1">
        <v>3000</v>
      </c>
      <c r="DX58" s="14">
        <f>SUM(DY58:FC58)</f>
        <v>14614</v>
      </c>
      <c r="EC58" s="1">
        <v>3000</v>
      </c>
      <c r="EI58" s="1">
        <v>260</v>
      </c>
      <c r="EM58" s="1">
        <v>1500</v>
      </c>
      <c r="EP58" s="1">
        <v>1500</v>
      </c>
      <c r="ER58" s="1">
        <v>8000</v>
      </c>
      <c r="ES58" s="1">
        <v>354</v>
      </c>
      <c r="FD58" s="14">
        <f>SUM(FE58:GH58)</f>
        <v>0</v>
      </c>
      <c r="GI58" s="14">
        <f>SUM(GJ58:HN58)</f>
        <v>0</v>
      </c>
      <c r="HO58" s="14">
        <f>SUM(HP58:IT58)</f>
        <v>0</v>
      </c>
      <c r="IU58" s="14">
        <f>SUM(IV58:JY58)</f>
        <v>0</v>
      </c>
      <c r="JE58" s="1"/>
      <c r="JZ58" s="14">
        <f>SUM(KA58:LE58)</f>
        <v>0</v>
      </c>
      <c r="LF58" s="14">
        <f>SUM(LG58:MJ58)</f>
        <v>0</v>
      </c>
      <c r="MK58" s="14">
        <f>SUM(ML58:NP58)</f>
        <v>0</v>
      </c>
    </row>
    <row r="59" spans="1:349" s="2" customFormat="1" x14ac:dyDescent="0.2">
      <c r="A59" s="1"/>
      <c r="B59" s="24" t="s">
        <v>98</v>
      </c>
      <c r="C59" s="14">
        <f t="shared" si="35"/>
        <v>155200</v>
      </c>
      <c r="D59" s="14">
        <f>SUM(E59:AI59)</f>
        <v>20000</v>
      </c>
      <c r="G59" s="3"/>
      <c r="P59" s="3"/>
      <c r="Q59" s="3"/>
      <c r="R59" s="3"/>
      <c r="S59" s="3"/>
      <c r="T59" s="3"/>
      <c r="W59" s="3"/>
      <c r="X59" s="3"/>
      <c r="Y59" s="3"/>
      <c r="Z59" s="3"/>
      <c r="AA59" s="3"/>
      <c r="AD59" s="3">
        <v>20000</v>
      </c>
      <c r="AE59" s="3"/>
      <c r="AF59" s="3"/>
      <c r="AG59" s="3"/>
      <c r="AH59" s="3"/>
      <c r="AJ59" s="14">
        <f>SUM(AK59:BL59)</f>
        <v>2000</v>
      </c>
      <c r="AP59" s="2">
        <v>2000</v>
      </c>
      <c r="BM59" s="14">
        <f>SUM(BN59:CR59)</f>
        <v>25000</v>
      </c>
      <c r="BO59" s="2">
        <v>10000</v>
      </c>
      <c r="CC59" s="2">
        <v>15000</v>
      </c>
      <c r="CS59" s="14">
        <f>SUM(CT59:DW59)</f>
        <v>67000</v>
      </c>
      <c r="CV59" s="1">
        <v>6000</v>
      </c>
      <c r="DF59" s="1">
        <v>11000</v>
      </c>
      <c r="DW59" s="1">
        <v>50000</v>
      </c>
      <c r="DX59" s="14">
        <f>SUM(DY59:FC59)</f>
        <v>41200</v>
      </c>
      <c r="ED59" s="1">
        <v>5200</v>
      </c>
      <c r="EI59" s="1">
        <v>20000</v>
      </c>
      <c r="EM59" s="1">
        <v>5000</v>
      </c>
      <c r="EQ59" s="2">
        <v>5000</v>
      </c>
      <c r="EZ59" s="1">
        <v>3000</v>
      </c>
      <c r="FB59" s="1">
        <v>3000</v>
      </c>
      <c r="FD59" s="14">
        <f>SUM(FE59:GH59)</f>
        <v>0</v>
      </c>
      <c r="GI59" s="14">
        <f>SUM(GJ59:HN59)</f>
        <v>0</v>
      </c>
      <c r="HO59" s="14">
        <f>SUM(HP59:IT59)</f>
        <v>0</v>
      </c>
      <c r="IU59" s="14">
        <f>SUM(IV59:JY59)</f>
        <v>0</v>
      </c>
      <c r="JZ59" s="14">
        <f>SUM(KA59:LE59)</f>
        <v>0</v>
      </c>
      <c r="LF59" s="14">
        <f>SUM(LG59:MJ59)</f>
        <v>0</v>
      </c>
      <c r="MK59" s="14">
        <f>SUM(ML59:NP59)</f>
        <v>0</v>
      </c>
    </row>
    <row r="60" spans="1:349" s="7" customFormat="1" x14ac:dyDescent="0.2">
      <c r="A60" s="1"/>
      <c r="B60" s="24"/>
    </row>
    <row r="61" spans="1:349" s="7" customFormat="1" x14ac:dyDescent="0.2">
      <c r="A61" s="1"/>
      <c r="B61" s="27" t="s">
        <v>87</v>
      </c>
      <c r="C61" s="13">
        <f>SUM(C62:C72)</f>
        <v>259837.62</v>
      </c>
      <c r="D61" s="13">
        <f>SUM(D62:D72)</f>
        <v>41300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13">
        <f>SUM(AJ62:AJ72)</f>
        <v>112422</v>
      </c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13">
        <f>SUM(BM62:BM72)</f>
        <v>50809</v>
      </c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13">
        <f>SUM(CS62:CS72)</f>
        <v>45126.62</v>
      </c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13">
        <f>SUM(DX62:DX72)</f>
        <v>10180</v>
      </c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13">
        <f>SUM(FD62:FD72)</f>
        <v>0</v>
      </c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13">
        <f>SUM(GI62:GI72)</f>
        <v>0</v>
      </c>
      <c r="GJ61" s="28"/>
      <c r="GK61" s="28"/>
      <c r="GL61" s="28"/>
      <c r="GM61" s="28"/>
      <c r="GN61" s="28"/>
      <c r="GO61" s="28"/>
      <c r="GP61" s="28"/>
      <c r="GQ61" s="28"/>
      <c r="GR61" s="28"/>
      <c r="GS61" s="28"/>
      <c r="GT61" s="28"/>
      <c r="GU61" s="28"/>
      <c r="GV61" s="28"/>
      <c r="GW61" s="28"/>
      <c r="GX61" s="28"/>
      <c r="GY61" s="28"/>
      <c r="GZ61" s="28"/>
      <c r="HA61" s="28"/>
      <c r="HB61" s="28"/>
      <c r="HC61" s="28"/>
      <c r="HD61" s="28"/>
      <c r="HE61" s="28"/>
      <c r="HF61" s="28"/>
      <c r="HG61" s="28"/>
      <c r="HH61" s="28"/>
      <c r="HI61" s="28"/>
      <c r="HJ61" s="28"/>
      <c r="HK61" s="28"/>
      <c r="HL61" s="28"/>
      <c r="HM61" s="28"/>
      <c r="HN61" s="28"/>
      <c r="HO61" s="13">
        <f>SUM(HO62:HO72)</f>
        <v>0</v>
      </c>
      <c r="HP61" s="28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8"/>
      <c r="IG61" s="28"/>
      <c r="IH61" s="28"/>
      <c r="II61" s="28"/>
      <c r="IJ61" s="28"/>
      <c r="IK61" s="28"/>
      <c r="IL61" s="28"/>
      <c r="IM61" s="28"/>
      <c r="IN61" s="28"/>
      <c r="IO61" s="28"/>
      <c r="IP61" s="28"/>
      <c r="IQ61" s="28"/>
      <c r="IR61" s="28"/>
      <c r="IS61" s="28"/>
      <c r="IT61" s="28"/>
      <c r="IU61" s="13">
        <f>SUM(IU62:IU72)</f>
        <v>0</v>
      </c>
      <c r="IV61" s="28"/>
      <c r="IW61" s="28"/>
      <c r="IX61" s="28"/>
      <c r="IY61" s="28"/>
      <c r="IZ61" s="28"/>
      <c r="JA61" s="28"/>
      <c r="JB61" s="28"/>
      <c r="JC61" s="28"/>
      <c r="JD61" s="28"/>
      <c r="JE61" s="28"/>
      <c r="JF61" s="28"/>
      <c r="JG61" s="28"/>
      <c r="JH61" s="28"/>
      <c r="JI61" s="28"/>
      <c r="JJ61" s="28"/>
      <c r="JK61" s="28"/>
      <c r="JL61" s="28"/>
      <c r="JM61" s="28"/>
      <c r="JN61" s="28"/>
      <c r="JO61" s="28"/>
      <c r="JP61" s="28"/>
      <c r="JQ61" s="28"/>
      <c r="JR61" s="28"/>
      <c r="JS61" s="28"/>
      <c r="JT61" s="28"/>
      <c r="JU61" s="28"/>
      <c r="JV61" s="28"/>
      <c r="JW61" s="28"/>
      <c r="JX61" s="28"/>
      <c r="JY61" s="28"/>
      <c r="JZ61" s="13">
        <f>SUM(JZ62:JZ72)</f>
        <v>0</v>
      </c>
      <c r="KA61" s="28"/>
      <c r="KB61" s="28"/>
      <c r="KC61" s="28"/>
      <c r="KD61" s="28"/>
      <c r="KE61" s="28"/>
      <c r="KF61" s="28"/>
      <c r="KG61" s="28"/>
      <c r="KH61" s="28"/>
      <c r="KI61" s="28"/>
      <c r="KJ61" s="28"/>
      <c r="KK61" s="28"/>
      <c r="KL61" s="28"/>
      <c r="KM61" s="28"/>
      <c r="KN61" s="28"/>
      <c r="KO61" s="28"/>
      <c r="KP61" s="28"/>
      <c r="KQ61" s="28"/>
      <c r="KR61" s="28"/>
      <c r="KS61" s="28"/>
      <c r="KT61" s="28"/>
      <c r="KU61" s="28"/>
      <c r="KV61" s="28"/>
      <c r="KW61" s="28"/>
      <c r="KX61" s="28"/>
      <c r="KY61" s="28"/>
      <c r="KZ61" s="28"/>
      <c r="LA61" s="28"/>
      <c r="LB61" s="28"/>
      <c r="LC61" s="28"/>
      <c r="LD61" s="28"/>
      <c r="LE61" s="28"/>
      <c r="LF61" s="13">
        <f>SUM(LF62:LF72)</f>
        <v>0</v>
      </c>
      <c r="LG61" s="28"/>
      <c r="LH61" s="28"/>
      <c r="LI61" s="28"/>
      <c r="LJ61" s="28"/>
      <c r="LK61" s="28"/>
      <c r="LL61" s="28"/>
      <c r="LM61" s="28"/>
      <c r="LN61" s="28"/>
      <c r="LO61" s="28"/>
      <c r="LP61" s="28"/>
      <c r="LQ61" s="28"/>
      <c r="LR61" s="28"/>
      <c r="LS61" s="28"/>
      <c r="LT61" s="28"/>
      <c r="LU61" s="28"/>
      <c r="LV61" s="28"/>
      <c r="LW61" s="28"/>
      <c r="LX61" s="28"/>
      <c r="LY61" s="28"/>
      <c r="LZ61" s="28"/>
      <c r="MA61" s="28"/>
      <c r="MB61" s="28"/>
      <c r="MC61" s="28"/>
      <c r="MD61" s="28"/>
      <c r="ME61" s="28"/>
      <c r="MF61" s="28"/>
      <c r="MG61" s="28"/>
      <c r="MH61" s="28"/>
      <c r="MI61" s="28"/>
      <c r="MJ61" s="28"/>
      <c r="MK61" s="13">
        <f>SUM(MK62:MK72)</f>
        <v>0</v>
      </c>
    </row>
    <row r="62" spans="1:349" s="2" customFormat="1" x14ac:dyDescent="0.2">
      <c r="A62" s="1"/>
      <c r="B62" s="24" t="s">
        <v>18</v>
      </c>
      <c r="C62" s="14">
        <f t="shared" ref="C62:C72" si="36">D62+AJ62+BM62+CS62+DX62+FD62+GI62+HO62+IU62+JZ62+LF62+MK62</f>
        <v>19661</v>
      </c>
      <c r="D62" s="14">
        <f t="shared" ref="D62:D72" si="37">SUM(E62:AI62)</f>
        <v>3000</v>
      </c>
      <c r="G62" s="3"/>
      <c r="P62" s="3"/>
      <c r="Q62" s="3"/>
      <c r="R62" s="3"/>
      <c r="S62" s="3"/>
      <c r="T62" s="3"/>
      <c r="W62" s="3"/>
      <c r="X62" s="3"/>
      <c r="Y62" s="3"/>
      <c r="Z62" s="3"/>
      <c r="AA62" s="3"/>
      <c r="AD62" s="3"/>
      <c r="AE62" s="3"/>
      <c r="AF62" s="3"/>
      <c r="AG62" s="3">
        <v>3000</v>
      </c>
      <c r="AH62" s="3"/>
      <c r="AJ62" s="14">
        <f t="shared" ref="AJ62:AJ72" si="38">SUM(AK62:BL62)</f>
        <v>0</v>
      </c>
      <c r="BM62" s="14">
        <f t="shared" ref="BM62:BM72" si="39">SUM(BN62:CR62)</f>
        <v>4009</v>
      </c>
      <c r="CE62" s="2">
        <v>4009</v>
      </c>
      <c r="CS62" s="14">
        <f t="shared" ref="CS62:CS72" si="40">SUM(CT62:DW62)</f>
        <v>8472</v>
      </c>
      <c r="DN62" s="2">
        <v>8472</v>
      </c>
      <c r="DX62" s="14">
        <f t="shared" ref="DX62:DX72" si="41">SUM(DY62:FC62)</f>
        <v>4180</v>
      </c>
      <c r="EQ62" s="2">
        <v>4180</v>
      </c>
      <c r="FD62" s="14">
        <f t="shared" ref="FD62:FD72" si="42">SUM(FE62:GH62)</f>
        <v>0</v>
      </c>
      <c r="GI62" s="14">
        <f t="shared" ref="GI62:GI72" si="43">SUM(GJ62:HN62)</f>
        <v>0</v>
      </c>
      <c r="HO62" s="14">
        <f t="shared" ref="HO62:HO72" si="44">SUM(HP62:IT62)</f>
        <v>0</v>
      </c>
      <c r="IU62" s="14">
        <f t="shared" ref="IU62:IU72" si="45">SUM(IV62:JY62)</f>
        <v>0</v>
      </c>
      <c r="JZ62" s="14">
        <f t="shared" ref="JZ62:JZ72" si="46">SUM(KA62:LE62)</f>
        <v>0</v>
      </c>
      <c r="LF62" s="14">
        <f t="shared" ref="LF62:LF72" si="47">SUM(LG62:MJ62)</f>
        <v>0</v>
      </c>
      <c r="MK62" s="14">
        <f t="shared" ref="MK62:MK72" si="48">SUM(ML62:NP62)</f>
        <v>0</v>
      </c>
    </row>
    <row r="63" spans="1:349" s="2" customFormat="1" x14ac:dyDescent="0.2">
      <c r="A63" s="1"/>
      <c r="B63" s="15" t="s">
        <v>17</v>
      </c>
      <c r="C63" s="14">
        <f t="shared" si="36"/>
        <v>15000</v>
      </c>
      <c r="D63" s="14">
        <f t="shared" si="37"/>
        <v>15000</v>
      </c>
      <c r="G63" s="3"/>
      <c r="P63" s="3"/>
      <c r="Q63" s="3"/>
      <c r="R63" s="3"/>
      <c r="S63" s="3">
        <v>7500</v>
      </c>
      <c r="T63" s="3"/>
      <c r="W63" s="3"/>
      <c r="X63" s="3"/>
      <c r="Y63" s="3"/>
      <c r="Z63" s="3"/>
      <c r="AA63" s="3"/>
      <c r="AD63" s="3"/>
      <c r="AE63" s="3"/>
      <c r="AF63" s="3">
        <v>7500</v>
      </c>
      <c r="AG63" s="3"/>
      <c r="AH63" s="3"/>
      <c r="AJ63" s="14">
        <f t="shared" si="38"/>
        <v>0</v>
      </c>
      <c r="BM63" s="14">
        <f t="shared" si="39"/>
        <v>0</v>
      </c>
      <c r="CS63" s="14">
        <f t="shared" si="40"/>
        <v>0</v>
      </c>
      <c r="DX63" s="14">
        <f t="shared" si="41"/>
        <v>0</v>
      </c>
      <c r="FD63" s="14">
        <f t="shared" si="42"/>
        <v>0</v>
      </c>
      <c r="GI63" s="14">
        <f t="shared" si="43"/>
        <v>0</v>
      </c>
      <c r="HO63" s="14">
        <f t="shared" si="44"/>
        <v>0</v>
      </c>
      <c r="IU63" s="14">
        <f t="shared" si="45"/>
        <v>0</v>
      </c>
      <c r="JZ63" s="14">
        <f t="shared" si="46"/>
        <v>0</v>
      </c>
      <c r="LF63" s="14">
        <f t="shared" si="47"/>
        <v>0</v>
      </c>
      <c r="MK63" s="14">
        <f t="shared" si="48"/>
        <v>0</v>
      </c>
    </row>
    <row r="64" spans="1:349" s="2" customFormat="1" x14ac:dyDescent="0.2">
      <c r="A64" s="1"/>
      <c r="B64" s="24" t="s">
        <v>19</v>
      </c>
      <c r="C64" s="14">
        <f t="shared" si="36"/>
        <v>26222</v>
      </c>
      <c r="D64" s="14">
        <f t="shared" si="37"/>
        <v>3300</v>
      </c>
      <c r="G64" s="3"/>
      <c r="P64" s="3"/>
      <c r="Q64" s="3"/>
      <c r="R64" s="3"/>
      <c r="S64" s="3"/>
      <c r="T64" s="3"/>
      <c r="W64" s="3"/>
      <c r="X64" s="3"/>
      <c r="Y64" s="3"/>
      <c r="Z64" s="3"/>
      <c r="AA64" s="3"/>
      <c r="AD64" s="3"/>
      <c r="AE64" s="3"/>
      <c r="AF64" s="3"/>
      <c r="AG64" s="3"/>
      <c r="AH64" s="3">
        <v>3300</v>
      </c>
      <c r="AJ64" s="14">
        <f t="shared" si="38"/>
        <v>3122</v>
      </c>
      <c r="BH64" s="2">
        <v>3122</v>
      </c>
      <c r="BM64" s="14">
        <f t="shared" si="39"/>
        <v>0</v>
      </c>
      <c r="CS64" s="14">
        <f t="shared" si="40"/>
        <v>19800</v>
      </c>
      <c r="CV64" s="2">
        <v>9900</v>
      </c>
      <c r="DV64" s="2">
        <v>9900</v>
      </c>
      <c r="DX64" s="14">
        <f t="shared" si="41"/>
        <v>0</v>
      </c>
      <c r="FD64" s="14">
        <f t="shared" si="42"/>
        <v>0</v>
      </c>
      <c r="GI64" s="14">
        <f t="shared" si="43"/>
        <v>0</v>
      </c>
      <c r="HO64" s="14">
        <f t="shared" si="44"/>
        <v>0</v>
      </c>
      <c r="IU64" s="14">
        <f t="shared" si="45"/>
        <v>0</v>
      </c>
      <c r="JZ64" s="14">
        <f t="shared" si="46"/>
        <v>0</v>
      </c>
      <c r="LF64" s="14">
        <f t="shared" si="47"/>
        <v>0</v>
      </c>
      <c r="MK64" s="14">
        <f t="shared" si="48"/>
        <v>0</v>
      </c>
    </row>
    <row r="65" spans="1:349" s="2" customFormat="1" x14ac:dyDescent="0.2">
      <c r="A65" s="1"/>
      <c r="B65" s="24" t="s">
        <v>90</v>
      </c>
      <c r="C65" s="14">
        <f t="shared" si="36"/>
        <v>9200</v>
      </c>
      <c r="D65" s="14">
        <f t="shared" si="37"/>
        <v>0</v>
      </c>
      <c r="G65" s="3"/>
      <c r="P65" s="3"/>
      <c r="Q65" s="3"/>
      <c r="R65" s="3"/>
      <c r="S65" s="3"/>
      <c r="T65" s="3"/>
      <c r="W65" s="3"/>
      <c r="X65" s="3"/>
      <c r="Y65" s="3"/>
      <c r="Z65" s="3"/>
      <c r="AA65" s="3"/>
      <c r="AD65" s="3"/>
      <c r="AE65" s="3"/>
      <c r="AF65" s="3"/>
      <c r="AG65" s="3"/>
      <c r="AH65" s="3"/>
      <c r="AJ65" s="14">
        <f t="shared" si="38"/>
        <v>0</v>
      </c>
      <c r="BM65" s="14">
        <f t="shared" si="39"/>
        <v>0</v>
      </c>
      <c r="CS65" s="14">
        <f t="shared" si="40"/>
        <v>9200</v>
      </c>
      <c r="CT65" s="1">
        <v>2300</v>
      </c>
      <c r="DV65" s="2">
        <f>6900</f>
        <v>6900</v>
      </c>
      <c r="DX65" s="14">
        <f t="shared" si="41"/>
        <v>0</v>
      </c>
      <c r="FD65" s="14">
        <f t="shared" si="42"/>
        <v>0</v>
      </c>
      <c r="GI65" s="14">
        <f t="shared" si="43"/>
        <v>0</v>
      </c>
      <c r="HO65" s="14">
        <f t="shared" si="44"/>
        <v>0</v>
      </c>
      <c r="IU65" s="14">
        <f t="shared" si="45"/>
        <v>0</v>
      </c>
      <c r="JZ65" s="14">
        <f t="shared" si="46"/>
        <v>0</v>
      </c>
      <c r="LF65" s="14">
        <f t="shared" si="47"/>
        <v>0</v>
      </c>
      <c r="MK65" s="14">
        <f t="shared" si="48"/>
        <v>0</v>
      </c>
    </row>
    <row r="66" spans="1:349" s="2" customFormat="1" x14ac:dyDescent="0.2">
      <c r="A66" s="1"/>
      <c r="B66" s="24" t="s">
        <v>20</v>
      </c>
      <c r="C66" s="14">
        <f t="shared" si="36"/>
        <v>130000</v>
      </c>
      <c r="D66" s="14">
        <f t="shared" si="37"/>
        <v>20000</v>
      </c>
      <c r="G66" s="3"/>
      <c r="P66" s="3"/>
      <c r="Q66" s="3"/>
      <c r="R66" s="3"/>
      <c r="S66" s="3"/>
      <c r="T66" s="3"/>
      <c r="W66" s="3"/>
      <c r="X66" s="3"/>
      <c r="Y66" s="3"/>
      <c r="Z66" s="3">
        <v>20000</v>
      </c>
      <c r="AA66" s="3"/>
      <c r="AD66" s="3"/>
      <c r="AE66" s="3"/>
      <c r="AF66" s="3"/>
      <c r="AG66" s="3"/>
      <c r="AH66" s="3"/>
      <c r="AJ66" s="14">
        <f t="shared" si="38"/>
        <v>70000</v>
      </c>
      <c r="BJ66" s="2">
        <v>70000</v>
      </c>
      <c r="BM66" s="14">
        <f t="shared" si="39"/>
        <v>40000</v>
      </c>
      <c r="CD66" s="2">
        <v>40000</v>
      </c>
      <c r="CS66" s="14">
        <f t="shared" si="40"/>
        <v>0</v>
      </c>
      <c r="DX66" s="14">
        <f t="shared" si="41"/>
        <v>0</v>
      </c>
      <c r="FD66" s="14">
        <f t="shared" si="42"/>
        <v>0</v>
      </c>
      <c r="GI66" s="14">
        <f t="shared" si="43"/>
        <v>0</v>
      </c>
      <c r="HO66" s="14">
        <f t="shared" si="44"/>
        <v>0</v>
      </c>
      <c r="IU66" s="14">
        <f t="shared" si="45"/>
        <v>0</v>
      </c>
      <c r="JZ66" s="14">
        <f t="shared" si="46"/>
        <v>0</v>
      </c>
      <c r="LF66" s="14">
        <f t="shared" si="47"/>
        <v>0</v>
      </c>
      <c r="MK66" s="14">
        <f t="shared" si="48"/>
        <v>0</v>
      </c>
    </row>
    <row r="67" spans="1:349" s="2" customFormat="1" x14ac:dyDescent="0.2">
      <c r="A67" s="1"/>
      <c r="B67" s="24" t="s">
        <v>21</v>
      </c>
      <c r="C67" s="14">
        <f t="shared" si="36"/>
        <v>28000</v>
      </c>
      <c r="D67" s="14">
        <f t="shared" si="37"/>
        <v>0</v>
      </c>
      <c r="G67" s="3"/>
      <c r="P67" s="3"/>
      <c r="Q67" s="3"/>
      <c r="R67" s="3"/>
      <c r="S67" s="3"/>
      <c r="T67" s="3"/>
      <c r="W67" s="3"/>
      <c r="X67" s="3"/>
      <c r="Y67" s="3"/>
      <c r="Z67" s="3"/>
      <c r="AA67" s="3"/>
      <c r="AD67" s="3"/>
      <c r="AE67" s="3"/>
      <c r="AF67" s="3"/>
      <c r="AG67" s="3"/>
      <c r="AH67" s="3"/>
      <c r="AJ67" s="14">
        <f t="shared" si="38"/>
        <v>28000</v>
      </c>
      <c r="AW67" s="2">
        <v>28000</v>
      </c>
      <c r="BM67" s="14">
        <f t="shared" si="39"/>
        <v>0</v>
      </c>
      <c r="CS67" s="14">
        <f t="shared" si="40"/>
        <v>0</v>
      </c>
      <c r="DX67" s="14">
        <f t="shared" si="41"/>
        <v>0</v>
      </c>
      <c r="FD67" s="14">
        <f t="shared" si="42"/>
        <v>0</v>
      </c>
      <c r="GI67" s="14">
        <f t="shared" si="43"/>
        <v>0</v>
      </c>
      <c r="HO67" s="14">
        <f t="shared" si="44"/>
        <v>0</v>
      </c>
      <c r="IU67" s="14">
        <f t="shared" si="45"/>
        <v>0</v>
      </c>
      <c r="JZ67" s="14">
        <f t="shared" si="46"/>
        <v>0</v>
      </c>
      <c r="LF67" s="14">
        <f t="shared" si="47"/>
        <v>0</v>
      </c>
      <c r="MK67" s="14">
        <f t="shared" si="48"/>
        <v>0</v>
      </c>
    </row>
    <row r="68" spans="1:349" x14ac:dyDescent="0.2">
      <c r="B68" s="15" t="s">
        <v>40</v>
      </c>
      <c r="C68" s="14">
        <f t="shared" si="36"/>
        <v>9900</v>
      </c>
      <c r="D68" s="14">
        <f t="shared" si="37"/>
        <v>0</v>
      </c>
      <c r="G68" s="3"/>
      <c r="P68" s="3"/>
      <c r="Q68" s="3"/>
      <c r="R68" s="3"/>
      <c r="S68" s="3"/>
      <c r="T68" s="3"/>
      <c r="W68" s="3"/>
      <c r="X68" s="3"/>
      <c r="Y68" s="3"/>
      <c r="Z68" s="3"/>
      <c r="AA68" s="3"/>
      <c r="AD68" s="3"/>
      <c r="AE68" s="3"/>
      <c r="AF68" s="3"/>
      <c r="AG68" s="3"/>
      <c r="AH68" s="3"/>
      <c r="AJ68" s="14">
        <f t="shared" si="38"/>
        <v>3200</v>
      </c>
      <c r="AO68" s="2">
        <v>3200</v>
      </c>
      <c r="BM68" s="14">
        <f t="shared" si="39"/>
        <v>0</v>
      </c>
      <c r="CS68" s="14">
        <f t="shared" si="40"/>
        <v>6700</v>
      </c>
      <c r="DA68" s="1">
        <v>1500</v>
      </c>
      <c r="DH68" s="1">
        <v>5200</v>
      </c>
      <c r="DX68" s="14">
        <f t="shared" si="41"/>
        <v>0</v>
      </c>
      <c r="FD68" s="14">
        <f t="shared" si="42"/>
        <v>0</v>
      </c>
      <c r="GI68" s="14">
        <f t="shared" si="43"/>
        <v>0</v>
      </c>
      <c r="HO68" s="14">
        <f t="shared" si="44"/>
        <v>0</v>
      </c>
      <c r="IU68" s="14">
        <f t="shared" si="45"/>
        <v>0</v>
      </c>
      <c r="JE68" s="1"/>
      <c r="JZ68" s="14">
        <f t="shared" si="46"/>
        <v>0</v>
      </c>
      <c r="LF68" s="14">
        <f t="shared" si="47"/>
        <v>0</v>
      </c>
      <c r="MK68" s="14">
        <f t="shared" si="48"/>
        <v>0</v>
      </c>
    </row>
    <row r="69" spans="1:349" x14ac:dyDescent="0.2">
      <c r="B69" s="15" t="s">
        <v>41</v>
      </c>
      <c r="C69" s="14">
        <f t="shared" si="36"/>
        <v>500</v>
      </c>
      <c r="D69" s="14">
        <f t="shared" si="37"/>
        <v>0</v>
      </c>
      <c r="G69" s="3"/>
      <c r="P69" s="3"/>
      <c r="Q69" s="3"/>
      <c r="R69" s="3"/>
      <c r="S69" s="3"/>
      <c r="T69" s="3"/>
      <c r="W69" s="3"/>
      <c r="X69" s="3"/>
      <c r="Y69" s="3"/>
      <c r="Z69" s="3"/>
      <c r="AA69" s="3"/>
      <c r="AD69" s="3"/>
      <c r="AE69" s="3"/>
      <c r="AF69" s="3"/>
      <c r="AG69" s="3"/>
      <c r="AH69" s="3"/>
      <c r="AJ69" s="14">
        <f t="shared" si="38"/>
        <v>500</v>
      </c>
      <c r="AS69" s="2">
        <v>500</v>
      </c>
      <c r="BM69" s="14">
        <f t="shared" si="39"/>
        <v>0</v>
      </c>
      <c r="CS69" s="14">
        <f t="shared" si="40"/>
        <v>0</v>
      </c>
      <c r="DX69" s="14">
        <f t="shared" si="41"/>
        <v>0</v>
      </c>
      <c r="FD69" s="14">
        <f t="shared" si="42"/>
        <v>0</v>
      </c>
      <c r="GI69" s="14">
        <f t="shared" si="43"/>
        <v>0</v>
      </c>
      <c r="HO69" s="14">
        <f t="shared" si="44"/>
        <v>0</v>
      </c>
      <c r="IU69" s="14">
        <f t="shared" si="45"/>
        <v>0</v>
      </c>
      <c r="JE69" s="1"/>
      <c r="JZ69" s="14">
        <f t="shared" si="46"/>
        <v>0</v>
      </c>
      <c r="LF69" s="14">
        <f t="shared" si="47"/>
        <v>0</v>
      </c>
      <c r="MK69" s="14">
        <f t="shared" si="48"/>
        <v>0</v>
      </c>
    </row>
    <row r="70" spans="1:349" s="2" customFormat="1" x14ac:dyDescent="0.2">
      <c r="A70" s="1"/>
      <c r="B70" s="24" t="s">
        <v>25</v>
      </c>
      <c r="C70" s="14">
        <f t="shared" si="36"/>
        <v>12000</v>
      </c>
      <c r="D70" s="14">
        <f t="shared" si="37"/>
        <v>0</v>
      </c>
      <c r="G70" s="3"/>
      <c r="P70" s="3"/>
      <c r="Q70" s="3"/>
      <c r="R70" s="3"/>
      <c r="S70" s="3"/>
      <c r="T70" s="3"/>
      <c r="W70" s="3"/>
      <c r="X70" s="3"/>
      <c r="Y70" s="3"/>
      <c r="Z70" s="3"/>
      <c r="AA70" s="3"/>
      <c r="AD70" s="3"/>
      <c r="AE70" s="3"/>
      <c r="AF70" s="3"/>
      <c r="AG70" s="3"/>
      <c r="AH70" s="3"/>
      <c r="AJ70" s="14">
        <f t="shared" si="38"/>
        <v>6000</v>
      </c>
      <c r="BA70" s="2">
        <v>6000</v>
      </c>
      <c r="BM70" s="14">
        <f t="shared" si="39"/>
        <v>0</v>
      </c>
      <c r="CS70" s="14">
        <f t="shared" si="40"/>
        <v>0</v>
      </c>
      <c r="DX70" s="14">
        <f t="shared" si="41"/>
        <v>6000</v>
      </c>
      <c r="EI70" s="2">
        <v>6000</v>
      </c>
      <c r="FD70" s="14">
        <f t="shared" si="42"/>
        <v>0</v>
      </c>
      <c r="GI70" s="14">
        <f t="shared" si="43"/>
        <v>0</v>
      </c>
      <c r="HO70" s="14">
        <f t="shared" si="44"/>
        <v>0</v>
      </c>
      <c r="IU70" s="14">
        <f t="shared" si="45"/>
        <v>0</v>
      </c>
      <c r="JZ70" s="14">
        <f t="shared" si="46"/>
        <v>0</v>
      </c>
      <c r="LF70" s="14">
        <f t="shared" si="47"/>
        <v>0</v>
      </c>
      <c r="MK70" s="14">
        <f t="shared" si="48"/>
        <v>0</v>
      </c>
    </row>
    <row r="71" spans="1:349" s="2" customFormat="1" x14ac:dyDescent="0.2">
      <c r="A71" s="1"/>
      <c r="B71" s="15" t="s">
        <v>100</v>
      </c>
      <c r="C71" s="14">
        <f t="shared" si="36"/>
        <v>2554.62</v>
      </c>
      <c r="D71" s="14">
        <f t="shared" si="37"/>
        <v>0</v>
      </c>
      <c r="G71" s="3"/>
      <c r="P71" s="3"/>
      <c r="Q71" s="3"/>
      <c r="R71" s="3"/>
      <c r="S71" s="3"/>
      <c r="T71" s="3"/>
      <c r="W71" s="3"/>
      <c r="X71" s="3"/>
      <c r="Y71" s="3"/>
      <c r="Z71" s="3"/>
      <c r="AA71" s="3"/>
      <c r="AD71" s="3"/>
      <c r="AE71" s="3"/>
      <c r="AF71" s="3"/>
      <c r="AG71" s="3"/>
      <c r="AH71" s="3"/>
      <c r="AJ71" s="14">
        <f t="shared" si="38"/>
        <v>1600</v>
      </c>
      <c r="BB71" s="2">
        <v>1600</v>
      </c>
      <c r="BM71" s="14">
        <f t="shared" si="39"/>
        <v>0</v>
      </c>
      <c r="CS71" s="14">
        <f t="shared" si="40"/>
        <v>954.62</v>
      </c>
      <c r="DJ71" s="2">
        <v>954.62</v>
      </c>
      <c r="DX71" s="14">
        <f t="shared" si="41"/>
        <v>0</v>
      </c>
      <c r="FD71" s="14">
        <f t="shared" si="42"/>
        <v>0</v>
      </c>
      <c r="GI71" s="14">
        <f t="shared" si="43"/>
        <v>0</v>
      </c>
      <c r="HO71" s="14">
        <f t="shared" si="44"/>
        <v>0</v>
      </c>
      <c r="IU71" s="14">
        <f t="shared" si="45"/>
        <v>0</v>
      </c>
      <c r="JZ71" s="14">
        <f t="shared" si="46"/>
        <v>0</v>
      </c>
      <c r="LF71" s="14">
        <f t="shared" si="47"/>
        <v>0</v>
      </c>
      <c r="MK71" s="14">
        <f t="shared" si="48"/>
        <v>0</v>
      </c>
    </row>
    <row r="72" spans="1:349" x14ac:dyDescent="0.2">
      <c r="B72" s="15" t="s">
        <v>44</v>
      </c>
      <c r="C72" s="14">
        <f t="shared" si="36"/>
        <v>6800</v>
      </c>
      <c r="D72" s="14">
        <f t="shared" si="37"/>
        <v>0</v>
      </c>
      <c r="G72" s="3"/>
      <c r="P72" s="3"/>
      <c r="Q72" s="3"/>
      <c r="R72" s="3"/>
      <c r="S72" s="3"/>
      <c r="T72" s="3"/>
      <c r="W72" s="3"/>
      <c r="X72" s="3"/>
      <c r="Y72" s="3"/>
      <c r="Z72" s="3"/>
      <c r="AA72" s="3"/>
      <c r="AD72" s="3"/>
      <c r="AE72" s="3"/>
      <c r="AF72" s="3"/>
      <c r="AG72" s="3"/>
      <c r="AH72" s="3"/>
      <c r="AJ72" s="14">
        <f t="shared" si="38"/>
        <v>0</v>
      </c>
      <c r="BM72" s="14">
        <f t="shared" si="39"/>
        <v>6800</v>
      </c>
      <c r="BO72" s="2">
        <v>2500</v>
      </c>
      <c r="BW72" s="2">
        <v>2000</v>
      </c>
      <c r="CD72" s="1">
        <v>2000</v>
      </c>
      <c r="CQ72" s="1">
        <v>300</v>
      </c>
      <c r="CS72" s="14">
        <f t="shared" si="40"/>
        <v>0</v>
      </c>
      <c r="DX72" s="14">
        <f t="shared" si="41"/>
        <v>0</v>
      </c>
      <c r="FD72" s="14">
        <f t="shared" si="42"/>
        <v>0</v>
      </c>
      <c r="GI72" s="14">
        <f t="shared" si="43"/>
        <v>0</v>
      </c>
      <c r="HO72" s="14">
        <f t="shared" si="44"/>
        <v>0</v>
      </c>
      <c r="IU72" s="14">
        <f t="shared" si="45"/>
        <v>0</v>
      </c>
      <c r="JE72" s="1"/>
      <c r="JZ72" s="14">
        <f t="shared" si="46"/>
        <v>0</v>
      </c>
      <c r="LF72" s="14">
        <f t="shared" si="47"/>
        <v>0</v>
      </c>
      <c r="MK72" s="14">
        <f t="shared" si="48"/>
        <v>0</v>
      </c>
    </row>
    <row r="73" spans="1:349" s="7" customFormat="1" x14ac:dyDescent="0.2">
      <c r="A73" s="1"/>
      <c r="B73" s="24"/>
    </row>
    <row r="74" spans="1:349" s="7" customFormat="1" x14ac:dyDescent="0.2">
      <c r="A74" s="1"/>
      <c r="B74" s="27" t="s">
        <v>91</v>
      </c>
      <c r="C74" s="13">
        <f>SUM(C75:C81)</f>
        <v>4306433.5</v>
      </c>
      <c r="D74" s="13">
        <f>SUM(D75:D81)</f>
        <v>24093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13">
        <f>SUM(AJ75:AJ81)</f>
        <v>2041700.7</v>
      </c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13">
        <f>SUM(BM75:BM81)</f>
        <v>622040</v>
      </c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13">
        <f>SUM(CS75:CS81)</f>
        <v>48800</v>
      </c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13">
        <f>SUM(DX75:DX81)</f>
        <v>1569799.8</v>
      </c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13">
        <f>SUM(FD75:FD81)</f>
        <v>0</v>
      </c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13">
        <f>SUM(GI75:GI81)</f>
        <v>0</v>
      </c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13">
        <f>SUM(HO75:HO81)</f>
        <v>0</v>
      </c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13">
        <f>SUM(IU75:IU81)</f>
        <v>0</v>
      </c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13">
        <f>SUM(JZ75:JZ81)</f>
        <v>0</v>
      </c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28"/>
      <c r="KO74" s="28"/>
      <c r="KP74" s="28"/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28"/>
      <c r="LC74" s="28"/>
      <c r="LD74" s="28"/>
      <c r="LE74" s="28"/>
      <c r="LF74" s="13">
        <f>SUM(LF75:LF81)</f>
        <v>0</v>
      </c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8"/>
      <c r="MK74" s="13">
        <f>SUM(MK75:MK81)</f>
        <v>0</v>
      </c>
    </row>
    <row r="75" spans="1:349" s="2" customFormat="1" x14ac:dyDescent="0.2">
      <c r="A75" s="1"/>
      <c r="B75" s="15" t="s">
        <v>101</v>
      </c>
      <c r="C75" s="14">
        <f t="shared" ref="C75:C81" si="49">D75+AJ75+BM75+CS75+DX75+FD75+GI75+HO75+IU75+JZ75+LF75+MK75</f>
        <v>597040</v>
      </c>
      <c r="D75" s="14">
        <f t="shared" ref="D75:D81" si="50">SUM(E75:AI75)</f>
        <v>0</v>
      </c>
      <c r="G75" s="3"/>
      <c r="P75" s="3"/>
      <c r="Q75" s="3"/>
      <c r="R75" s="3"/>
      <c r="S75" s="3"/>
      <c r="T75" s="3"/>
      <c r="W75" s="3"/>
      <c r="X75" s="3"/>
      <c r="Y75" s="3"/>
      <c r="Z75" s="3"/>
      <c r="AA75" s="3"/>
      <c r="AD75" s="3"/>
      <c r="AE75" s="3"/>
      <c r="AF75" s="3"/>
      <c r="AG75" s="3"/>
      <c r="AH75" s="3"/>
      <c r="AJ75" s="14">
        <f t="shared" ref="AJ75:AJ81" si="51">SUM(AK75:BL75)</f>
        <v>0</v>
      </c>
      <c r="BM75" s="14">
        <f t="shared" ref="BM75:BM81" si="52">SUM(BN75:CR75)</f>
        <v>597040</v>
      </c>
      <c r="BQ75" s="2">
        <v>597040</v>
      </c>
      <c r="CS75" s="14">
        <f t="shared" ref="CS75:CS81" si="53">SUM(CT75:DW75)</f>
        <v>0</v>
      </c>
      <c r="DX75" s="14">
        <f t="shared" ref="DX75:DX81" si="54">SUM(DY75:FC75)</f>
        <v>0</v>
      </c>
      <c r="FD75" s="14">
        <f t="shared" ref="FD75:FD81" si="55">SUM(FE75:GH75)</f>
        <v>0</v>
      </c>
      <c r="GI75" s="14">
        <f t="shared" ref="GI75:GI81" si="56">SUM(GJ75:HN75)</f>
        <v>0</v>
      </c>
      <c r="HO75" s="14">
        <f t="shared" ref="HO75:HO81" si="57">SUM(HP75:IT75)</f>
        <v>0</v>
      </c>
      <c r="IU75" s="14">
        <f t="shared" ref="IU75:IU81" si="58">SUM(IV75:JY75)</f>
        <v>0</v>
      </c>
      <c r="JZ75" s="14">
        <f t="shared" ref="JZ75:JZ81" si="59">SUM(KA75:LE75)</f>
        <v>0</v>
      </c>
      <c r="LF75" s="14">
        <f t="shared" ref="LF75:LF81" si="60">SUM(LG75:MJ75)</f>
        <v>0</v>
      </c>
      <c r="MK75" s="14">
        <f t="shared" ref="MK75:MK81" si="61">SUM(ML75:NP75)</f>
        <v>0</v>
      </c>
    </row>
    <row r="76" spans="1:349" s="2" customFormat="1" x14ac:dyDescent="0.2">
      <c r="A76" s="1"/>
      <c r="B76" s="15" t="s">
        <v>102</v>
      </c>
      <c r="C76" s="14">
        <f t="shared" si="49"/>
        <v>6800</v>
      </c>
      <c r="D76" s="14">
        <f t="shared" si="50"/>
        <v>0</v>
      </c>
      <c r="G76" s="3"/>
      <c r="P76" s="3"/>
      <c r="Q76" s="3"/>
      <c r="R76" s="3"/>
      <c r="S76" s="3"/>
      <c r="T76" s="3"/>
      <c r="W76" s="3"/>
      <c r="X76" s="3"/>
      <c r="Y76" s="3"/>
      <c r="Z76" s="3"/>
      <c r="AA76" s="3"/>
      <c r="AD76" s="3"/>
      <c r="AE76" s="3"/>
      <c r="AF76" s="3"/>
      <c r="AG76" s="3"/>
      <c r="AH76" s="3"/>
      <c r="AJ76" s="14">
        <f t="shared" si="51"/>
        <v>6800</v>
      </c>
      <c r="BI76" s="2">
        <v>6800</v>
      </c>
      <c r="BM76" s="14">
        <f t="shared" si="52"/>
        <v>0</v>
      </c>
      <c r="CS76" s="14">
        <f t="shared" si="53"/>
        <v>0</v>
      </c>
      <c r="DX76" s="14">
        <f t="shared" si="54"/>
        <v>0</v>
      </c>
      <c r="FD76" s="14">
        <f t="shared" si="55"/>
        <v>0</v>
      </c>
      <c r="GI76" s="14">
        <f t="shared" si="56"/>
        <v>0</v>
      </c>
      <c r="HO76" s="14">
        <f t="shared" si="57"/>
        <v>0</v>
      </c>
      <c r="IU76" s="14">
        <f t="shared" si="58"/>
        <v>0</v>
      </c>
      <c r="JZ76" s="14">
        <f t="shared" si="59"/>
        <v>0</v>
      </c>
      <c r="LF76" s="14">
        <f t="shared" si="60"/>
        <v>0</v>
      </c>
      <c r="MK76" s="14">
        <f t="shared" si="61"/>
        <v>0</v>
      </c>
    </row>
    <row r="77" spans="1:349" s="2" customFormat="1" x14ac:dyDescent="0.2">
      <c r="A77" s="1"/>
      <c r="B77" s="15" t="s">
        <v>103</v>
      </c>
      <c r="C77" s="14">
        <f t="shared" si="49"/>
        <v>4700</v>
      </c>
      <c r="D77" s="14">
        <f t="shared" si="50"/>
        <v>0</v>
      </c>
      <c r="G77" s="3"/>
      <c r="P77" s="3"/>
      <c r="Q77" s="3"/>
      <c r="R77" s="3"/>
      <c r="S77" s="3"/>
      <c r="T77" s="3"/>
      <c r="W77" s="3"/>
      <c r="X77" s="3"/>
      <c r="Y77" s="3"/>
      <c r="Z77" s="3"/>
      <c r="AA77" s="3"/>
      <c r="AD77" s="3"/>
      <c r="AE77" s="3"/>
      <c r="AF77" s="3"/>
      <c r="AG77" s="3"/>
      <c r="AH77" s="3"/>
      <c r="AJ77" s="14">
        <f t="shared" si="51"/>
        <v>0</v>
      </c>
      <c r="BM77" s="14">
        <f t="shared" si="52"/>
        <v>0</v>
      </c>
      <c r="CS77" s="14">
        <f t="shared" si="53"/>
        <v>4700</v>
      </c>
      <c r="CV77" s="2">
        <v>4700</v>
      </c>
      <c r="DX77" s="14">
        <f t="shared" si="54"/>
        <v>0</v>
      </c>
      <c r="FD77" s="14">
        <f t="shared" si="55"/>
        <v>0</v>
      </c>
      <c r="GI77" s="14">
        <f t="shared" si="56"/>
        <v>0</v>
      </c>
      <c r="HO77" s="14">
        <f t="shared" si="57"/>
        <v>0</v>
      </c>
      <c r="IU77" s="14">
        <f t="shared" si="58"/>
        <v>0</v>
      </c>
      <c r="JZ77" s="14">
        <f t="shared" si="59"/>
        <v>0</v>
      </c>
      <c r="LF77" s="14">
        <f t="shared" si="60"/>
        <v>0</v>
      </c>
      <c r="MK77" s="14">
        <f t="shared" si="61"/>
        <v>0</v>
      </c>
    </row>
    <row r="78" spans="1:349" x14ac:dyDescent="0.2">
      <c r="B78" s="15" t="s">
        <v>104</v>
      </c>
      <c r="C78" s="14">
        <f t="shared" si="49"/>
        <v>166524</v>
      </c>
      <c r="D78" s="14">
        <f t="shared" si="50"/>
        <v>0</v>
      </c>
      <c r="G78" s="3"/>
      <c r="P78" s="3"/>
      <c r="Q78" s="3"/>
      <c r="R78" s="3"/>
      <c r="S78" s="3"/>
      <c r="T78" s="3"/>
      <c r="W78" s="3"/>
      <c r="X78" s="3"/>
      <c r="Y78" s="3"/>
      <c r="Z78" s="3"/>
      <c r="AA78" s="3"/>
      <c r="AD78" s="3"/>
      <c r="AE78" s="3"/>
      <c r="AF78" s="3"/>
      <c r="AG78" s="3"/>
      <c r="AH78" s="3"/>
      <c r="AJ78" s="14">
        <f t="shared" si="51"/>
        <v>68000</v>
      </c>
      <c r="BJ78" s="2">
        <f>42000</f>
        <v>42000</v>
      </c>
      <c r="BK78" s="2">
        <v>26000</v>
      </c>
      <c r="BM78" s="14">
        <f t="shared" si="52"/>
        <v>2000</v>
      </c>
      <c r="CC78" s="2">
        <v>2000</v>
      </c>
      <c r="CS78" s="14">
        <f t="shared" si="53"/>
        <v>44100</v>
      </c>
      <c r="DH78" s="1">
        <v>44100</v>
      </c>
      <c r="DX78" s="14">
        <f t="shared" si="54"/>
        <v>52424</v>
      </c>
      <c r="EW78" s="1">
        <v>52424</v>
      </c>
      <c r="FD78" s="14">
        <f t="shared" si="55"/>
        <v>0</v>
      </c>
      <c r="GI78" s="14">
        <f t="shared" si="56"/>
        <v>0</v>
      </c>
      <c r="HO78" s="14">
        <f t="shared" si="57"/>
        <v>0</v>
      </c>
      <c r="IU78" s="14">
        <f t="shared" si="58"/>
        <v>0</v>
      </c>
      <c r="JE78" s="1"/>
      <c r="JZ78" s="14">
        <f t="shared" si="59"/>
        <v>0</v>
      </c>
      <c r="LF78" s="14">
        <f t="shared" si="60"/>
        <v>0</v>
      </c>
      <c r="MK78" s="14">
        <f t="shared" si="61"/>
        <v>0</v>
      </c>
    </row>
    <row r="79" spans="1:349" x14ac:dyDescent="0.2">
      <c r="B79" s="15" t="s">
        <v>43</v>
      </c>
      <c r="C79" s="14">
        <f t="shared" si="49"/>
        <v>3086900.7</v>
      </c>
      <c r="D79" s="14">
        <f t="shared" si="50"/>
        <v>0</v>
      </c>
      <c r="G79" s="3"/>
      <c r="P79" s="3"/>
      <c r="Q79" s="3"/>
      <c r="R79" s="3"/>
      <c r="S79" s="3"/>
      <c r="T79" s="3"/>
      <c r="W79" s="3"/>
      <c r="X79" s="3"/>
      <c r="Y79" s="3"/>
      <c r="Z79" s="3"/>
      <c r="AA79" s="3"/>
      <c r="AD79" s="3"/>
      <c r="AE79" s="3"/>
      <c r="AF79" s="3"/>
      <c r="AG79" s="3"/>
      <c r="AH79" s="3"/>
      <c r="AJ79" s="14">
        <f t="shared" si="51"/>
        <v>1966900.7</v>
      </c>
      <c r="BJ79" s="2">
        <v>1966900.7</v>
      </c>
      <c r="BM79" s="14">
        <f t="shared" si="52"/>
        <v>0</v>
      </c>
      <c r="CS79" s="14">
        <f t="shared" si="53"/>
        <v>0</v>
      </c>
      <c r="DX79" s="14">
        <f t="shared" si="54"/>
        <v>1120000</v>
      </c>
      <c r="EW79" s="1">
        <v>1120000</v>
      </c>
      <c r="FD79" s="14">
        <f t="shared" si="55"/>
        <v>0</v>
      </c>
      <c r="GI79" s="14">
        <f t="shared" si="56"/>
        <v>0</v>
      </c>
      <c r="HO79" s="14">
        <f t="shared" si="57"/>
        <v>0</v>
      </c>
      <c r="IU79" s="14">
        <f t="shared" si="58"/>
        <v>0</v>
      </c>
      <c r="JE79" s="1"/>
      <c r="JZ79" s="14">
        <f t="shared" si="59"/>
        <v>0</v>
      </c>
      <c r="LF79" s="14">
        <f t="shared" si="60"/>
        <v>0</v>
      </c>
      <c r="MK79" s="14">
        <f t="shared" si="61"/>
        <v>0</v>
      </c>
    </row>
    <row r="80" spans="1:349" x14ac:dyDescent="0.2">
      <c r="B80" s="15" t="s">
        <v>97</v>
      </c>
      <c r="C80" s="14">
        <f t="shared" si="49"/>
        <v>23000</v>
      </c>
      <c r="D80" s="14">
        <f t="shared" si="50"/>
        <v>0</v>
      </c>
      <c r="G80" s="3"/>
      <c r="P80" s="3"/>
      <c r="Q80" s="3"/>
      <c r="R80" s="3"/>
      <c r="S80" s="3"/>
      <c r="T80" s="3"/>
      <c r="W80" s="3"/>
      <c r="X80" s="3"/>
      <c r="Y80" s="3"/>
      <c r="Z80" s="3"/>
      <c r="AA80" s="3"/>
      <c r="AD80" s="3"/>
      <c r="AE80" s="3"/>
      <c r="AF80" s="3"/>
      <c r="AG80" s="3"/>
      <c r="AH80" s="3"/>
      <c r="AJ80" s="14">
        <f t="shared" si="51"/>
        <v>0</v>
      </c>
      <c r="BM80" s="14">
        <f t="shared" si="52"/>
        <v>23000</v>
      </c>
      <c r="BO80" s="2">
        <v>23000</v>
      </c>
      <c r="CS80" s="14">
        <f t="shared" si="53"/>
        <v>0</v>
      </c>
      <c r="DX80" s="14">
        <f t="shared" si="54"/>
        <v>0</v>
      </c>
      <c r="FD80" s="14">
        <f t="shared" si="55"/>
        <v>0</v>
      </c>
      <c r="GI80" s="14">
        <f t="shared" si="56"/>
        <v>0</v>
      </c>
      <c r="HO80" s="14">
        <f t="shared" si="57"/>
        <v>0</v>
      </c>
      <c r="IU80" s="14">
        <f t="shared" si="58"/>
        <v>0</v>
      </c>
      <c r="JE80" s="1"/>
      <c r="JZ80" s="14">
        <f t="shared" si="59"/>
        <v>0</v>
      </c>
      <c r="LF80" s="14">
        <f t="shared" si="60"/>
        <v>0</v>
      </c>
      <c r="MK80" s="14">
        <f t="shared" si="61"/>
        <v>0</v>
      </c>
    </row>
    <row r="81" spans="1:349" x14ac:dyDescent="0.2">
      <c r="B81" s="15" t="s">
        <v>105</v>
      </c>
      <c r="C81" s="14">
        <f t="shared" si="49"/>
        <v>421468.8</v>
      </c>
      <c r="D81" s="14">
        <f t="shared" si="50"/>
        <v>24093</v>
      </c>
      <c r="G81" s="3"/>
      <c r="P81" s="3"/>
      <c r="Q81" s="3"/>
      <c r="R81" s="3"/>
      <c r="S81" s="3"/>
      <c r="T81" s="3"/>
      <c r="W81" s="3">
        <v>24093</v>
      </c>
      <c r="X81" s="3"/>
      <c r="Y81" s="3"/>
      <c r="Z81" s="3"/>
      <c r="AA81" s="3"/>
      <c r="AD81" s="3"/>
      <c r="AE81" s="3"/>
      <c r="AF81" s="3"/>
      <c r="AG81" s="3"/>
      <c r="AH81" s="3"/>
      <c r="AJ81" s="14">
        <f t="shared" si="51"/>
        <v>0</v>
      </c>
      <c r="BM81" s="14">
        <f t="shared" si="52"/>
        <v>0</v>
      </c>
      <c r="CS81" s="14">
        <f t="shared" si="53"/>
        <v>0</v>
      </c>
      <c r="DX81" s="14">
        <f t="shared" si="54"/>
        <v>397375.8</v>
      </c>
      <c r="ER81" s="2">
        <v>57375.8</v>
      </c>
      <c r="EW81" s="1">
        <v>340000</v>
      </c>
      <c r="FD81" s="14">
        <f t="shared" si="55"/>
        <v>0</v>
      </c>
      <c r="GI81" s="14">
        <f t="shared" si="56"/>
        <v>0</v>
      </c>
      <c r="HO81" s="14">
        <f t="shared" si="57"/>
        <v>0</v>
      </c>
      <c r="IU81" s="14">
        <f t="shared" si="58"/>
        <v>0</v>
      </c>
      <c r="JE81" s="1"/>
      <c r="JZ81" s="14">
        <f t="shared" si="59"/>
        <v>0</v>
      </c>
      <c r="LF81" s="14">
        <f t="shared" si="60"/>
        <v>0</v>
      </c>
      <c r="MK81" s="14">
        <f t="shared" si="61"/>
        <v>0</v>
      </c>
    </row>
    <row r="82" spans="1:349" s="7" customFormat="1" x14ac:dyDescent="0.2">
      <c r="A82" s="1"/>
      <c r="B82" s="24"/>
    </row>
    <row r="83" spans="1:349" s="7" customFormat="1" x14ac:dyDescent="0.2">
      <c r="A83" s="1"/>
      <c r="B83" s="27" t="s">
        <v>92</v>
      </c>
      <c r="C83" s="13">
        <f>SUM(C84:C90)</f>
        <v>618631</v>
      </c>
      <c r="D83" s="13">
        <f>SUM(D84:D90)</f>
        <v>12000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13">
        <f>SUM(AJ84:AJ90)</f>
        <v>41118</v>
      </c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13">
        <f>SUM(BM84:BM90)</f>
        <v>263563</v>
      </c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13">
        <f>SUM(CS84:CS90)</f>
        <v>196000</v>
      </c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13">
        <f>SUM(DX84:DX90)</f>
        <v>105950</v>
      </c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13">
        <f>SUM(FD84:FD90)</f>
        <v>0</v>
      </c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13">
        <f>SUM(GI84:GI90)</f>
        <v>0</v>
      </c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28"/>
      <c r="GV83" s="28"/>
      <c r="GW83" s="28"/>
      <c r="GX83" s="28"/>
      <c r="GY83" s="28"/>
      <c r="GZ83" s="28"/>
      <c r="HA83" s="28"/>
      <c r="HB83" s="28"/>
      <c r="HC83" s="28"/>
      <c r="HD83" s="28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13">
        <f>SUM(HO84:HO90)</f>
        <v>0</v>
      </c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  <c r="IJ83" s="28"/>
      <c r="IK83" s="28"/>
      <c r="IL83" s="28"/>
      <c r="IM83" s="28"/>
      <c r="IN83" s="28"/>
      <c r="IO83" s="28"/>
      <c r="IP83" s="28"/>
      <c r="IQ83" s="28"/>
      <c r="IR83" s="28"/>
      <c r="IS83" s="28"/>
      <c r="IT83" s="28"/>
      <c r="IU83" s="13">
        <f>SUM(IU84:IU90)</f>
        <v>0</v>
      </c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13">
        <f>SUM(JZ84:JZ90)</f>
        <v>0</v>
      </c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28"/>
      <c r="KO83" s="28"/>
      <c r="KP83" s="28"/>
      <c r="KQ83" s="28"/>
      <c r="KR83" s="28"/>
      <c r="KS83" s="28"/>
      <c r="KT83" s="28"/>
      <c r="KU83" s="28"/>
      <c r="KV83" s="28"/>
      <c r="KW83" s="28"/>
      <c r="KX83" s="28"/>
      <c r="KY83" s="28"/>
      <c r="KZ83" s="28"/>
      <c r="LA83" s="28"/>
      <c r="LB83" s="28"/>
      <c r="LC83" s="28"/>
      <c r="LD83" s="28"/>
      <c r="LE83" s="28"/>
      <c r="LF83" s="13">
        <f>SUM(LF84:LF90)</f>
        <v>0</v>
      </c>
      <c r="LG83" s="28"/>
      <c r="LH83" s="28"/>
      <c r="LI83" s="28"/>
      <c r="LJ83" s="28"/>
      <c r="LK83" s="28"/>
      <c r="LL83" s="28"/>
      <c r="LM83" s="28"/>
      <c r="LN83" s="28"/>
      <c r="LO83" s="28"/>
      <c r="LP83" s="28"/>
      <c r="LQ83" s="28"/>
      <c r="LR83" s="28"/>
      <c r="LS83" s="28"/>
      <c r="LT83" s="28"/>
      <c r="LU83" s="28"/>
      <c r="LV83" s="28"/>
      <c r="LW83" s="28"/>
      <c r="LX83" s="28"/>
      <c r="LY83" s="28"/>
      <c r="LZ83" s="28"/>
      <c r="MA83" s="28"/>
      <c r="MB83" s="28"/>
      <c r="MC83" s="28"/>
      <c r="MD83" s="28"/>
      <c r="ME83" s="28"/>
      <c r="MF83" s="28"/>
      <c r="MG83" s="28"/>
      <c r="MH83" s="28"/>
      <c r="MI83" s="28"/>
      <c r="MJ83" s="28"/>
      <c r="MK83" s="13">
        <f>SUM(MK84:MK90)</f>
        <v>0</v>
      </c>
    </row>
    <row r="84" spans="1:349" x14ac:dyDescent="0.2">
      <c r="B84" s="15" t="s">
        <v>34</v>
      </c>
      <c r="C84" s="14">
        <f t="shared" ref="C84:C90" si="62">D84+AJ84+BM84+CS84+DX84+FD84+GI84+HO84+IU84+JZ84+LF84+MK84</f>
        <v>12000</v>
      </c>
      <c r="D84" s="14">
        <f t="shared" ref="D84:D90" si="63">SUM(E84:AI84)</f>
        <v>12000</v>
      </c>
      <c r="F84" s="2">
        <v>12000</v>
      </c>
      <c r="G84" s="3"/>
      <c r="P84" s="3"/>
      <c r="Q84" s="3"/>
      <c r="R84" s="3"/>
      <c r="S84" s="3"/>
      <c r="T84" s="3"/>
      <c r="W84" s="3"/>
      <c r="X84" s="3"/>
      <c r="Y84" s="3"/>
      <c r="Z84" s="3"/>
      <c r="AA84" s="3"/>
      <c r="AD84" s="3"/>
      <c r="AE84" s="3"/>
      <c r="AF84" s="3"/>
      <c r="AG84" s="3"/>
      <c r="AH84" s="3"/>
      <c r="AJ84" s="14">
        <f t="shared" ref="AJ84:AJ90" si="64">SUM(AK84:BL84)</f>
        <v>0</v>
      </c>
      <c r="BM84" s="14">
        <f t="shared" ref="BM84:BM90" si="65">SUM(BN84:CR84)</f>
        <v>0</v>
      </c>
      <c r="CS84" s="14">
        <f t="shared" ref="CS84:CS90" si="66">SUM(CT84:DW84)</f>
        <v>0</v>
      </c>
      <c r="DX84" s="14">
        <f t="shared" ref="DX84:DX90" si="67">SUM(DY84:FC84)</f>
        <v>0</v>
      </c>
      <c r="FD84" s="14">
        <f>SUM(FE84:GH84)</f>
        <v>0</v>
      </c>
      <c r="GI84" s="14">
        <f t="shared" ref="GI84:GI90" si="68">SUM(GJ84:HN84)</f>
        <v>0</v>
      </c>
      <c r="HO84" s="14">
        <f t="shared" ref="HO84:HO90" si="69">SUM(HP84:IT84)</f>
        <v>0</v>
      </c>
      <c r="IU84" s="14">
        <f>SUM(IV84:JY84)</f>
        <v>0</v>
      </c>
      <c r="JE84" s="1"/>
      <c r="JZ84" s="14">
        <f t="shared" ref="JZ84:JZ90" si="70">SUM(KA84:LE84)</f>
        <v>0</v>
      </c>
      <c r="LF84" s="14">
        <f>SUM(LG84:MJ84)</f>
        <v>0</v>
      </c>
      <c r="MK84" s="14">
        <f t="shared" ref="MK84:MK90" si="71">SUM(ML84:NP84)</f>
        <v>0</v>
      </c>
    </row>
    <row r="85" spans="1:349" s="2" customFormat="1" x14ac:dyDescent="0.2">
      <c r="A85" s="1"/>
      <c r="B85" s="15" t="s">
        <v>32</v>
      </c>
      <c r="C85" s="14">
        <f t="shared" si="62"/>
        <v>18000</v>
      </c>
      <c r="D85" s="14">
        <f t="shared" si="63"/>
        <v>0</v>
      </c>
      <c r="G85" s="3"/>
      <c r="P85" s="3"/>
      <c r="Q85" s="3"/>
      <c r="R85" s="3"/>
      <c r="S85" s="3"/>
      <c r="T85" s="3"/>
      <c r="W85" s="3"/>
      <c r="X85" s="3"/>
      <c r="Y85" s="3"/>
      <c r="Z85" s="3"/>
      <c r="AA85" s="3"/>
      <c r="AD85" s="3"/>
      <c r="AE85" s="3"/>
      <c r="AF85" s="3"/>
      <c r="AG85" s="3"/>
      <c r="AH85" s="3"/>
      <c r="AJ85" s="14">
        <f t="shared" si="64"/>
        <v>0</v>
      </c>
      <c r="BM85" s="14">
        <f t="shared" si="65"/>
        <v>0</v>
      </c>
      <c r="CS85" s="14">
        <f t="shared" si="66"/>
        <v>18000</v>
      </c>
      <c r="DU85" s="2">
        <v>18000</v>
      </c>
      <c r="DX85" s="14">
        <f t="shared" si="67"/>
        <v>0</v>
      </c>
      <c r="FD85" s="14">
        <f>SUM(FE85:GH85)</f>
        <v>0</v>
      </c>
      <c r="GI85" s="14">
        <f t="shared" si="68"/>
        <v>0</v>
      </c>
      <c r="HO85" s="14">
        <f t="shared" si="69"/>
        <v>0</v>
      </c>
      <c r="IU85" s="14">
        <f>SUM(IV85:JY85)</f>
        <v>0</v>
      </c>
      <c r="JZ85" s="14">
        <f t="shared" si="70"/>
        <v>0</v>
      </c>
      <c r="LF85" s="14">
        <f>SUM(LG85:MJ85)</f>
        <v>0</v>
      </c>
      <c r="MK85" s="14">
        <f t="shared" si="71"/>
        <v>0</v>
      </c>
    </row>
    <row r="86" spans="1:349" s="2" customFormat="1" x14ac:dyDescent="0.2">
      <c r="A86" s="1"/>
      <c r="B86" s="24" t="s">
        <v>93</v>
      </c>
      <c r="C86" s="14">
        <f t="shared" si="62"/>
        <v>126000</v>
      </c>
      <c r="D86" s="14">
        <f t="shared" si="63"/>
        <v>0</v>
      </c>
      <c r="G86" s="3"/>
      <c r="P86" s="3"/>
      <c r="Q86" s="3"/>
      <c r="R86" s="3"/>
      <c r="S86" s="3"/>
      <c r="T86" s="3"/>
      <c r="W86" s="3"/>
      <c r="X86" s="3"/>
      <c r="Y86" s="3"/>
      <c r="Z86" s="3"/>
      <c r="AA86" s="3"/>
      <c r="AD86" s="3"/>
      <c r="AE86" s="3"/>
      <c r="AF86" s="3"/>
      <c r="AG86" s="3"/>
      <c r="AH86" s="3"/>
      <c r="AJ86" s="14">
        <f t="shared" si="64"/>
        <v>0</v>
      </c>
      <c r="BM86" s="14">
        <f t="shared" si="65"/>
        <v>0</v>
      </c>
      <c r="CS86" s="14">
        <f t="shared" si="66"/>
        <v>120000</v>
      </c>
      <c r="DW86" s="2">
        <v>120000</v>
      </c>
      <c r="DX86" s="14">
        <f t="shared" si="67"/>
        <v>6000</v>
      </c>
      <c r="EX86" s="2">
        <v>6000</v>
      </c>
      <c r="FD86" s="14"/>
      <c r="GI86" s="14">
        <f t="shared" si="68"/>
        <v>0</v>
      </c>
      <c r="HO86" s="14">
        <f t="shared" si="69"/>
        <v>0</v>
      </c>
      <c r="IU86" s="14"/>
      <c r="JZ86" s="14">
        <f t="shared" si="70"/>
        <v>0</v>
      </c>
      <c r="LF86" s="14"/>
      <c r="MK86" s="14">
        <f t="shared" si="71"/>
        <v>0</v>
      </c>
    </row>
    <row r="87" spans="1:349" s="2" customFormat="1" x14ac:dyDescent="0.2">
      <c r="A87" s="1"/>
      <c r="B87" s="24" t="s">
        <v>22</v>
      </c>
      <c r="C87" s="14">
        <f t="shared" si="62"/>
        <v>41118</v>
      </c>
      <c r="D87" s="14">
        <f t="shared" si="63"/>
        <v>0</v>
      </c>
      <c r="G87" s="3"/>
      <c r="P87" s="3"/>
      <c r="Q87" s="3"/>
      <c r="R87" s="3"/>
      <c r="S87" s="3"/>
      <c r="T87" s="3"/>
      <c r="W87" s="3"/>
      <c r="X87" s="3"/>
      <c r="Y87" s="3"/>
      <c r="Z87" s="3"/>
      <c r="AA87" s="3"/>
      <c r="AD87" s="3"/>
      <c r="AE87" s="3"/>
      <c r="AF87" s="3"/>
      <c r="AG87" s="3"/>
      <c r="AH87" s="3"/>
      <c r="AJ87" s="14">
        <f t="shared" si="64"/>
        <v>41118</v>
      </c>
      <c r="AW87" s="2">
        <v>41118</v>
      </c>
      <c r="BM87" s="14">
        <f t="shared" si="65"/>
        <v>0</v>
      </c>
      <c r="CS87" s="14">
        <f t="shared" si="66"/>
        <v>0</v>
      </c>
      <c r="DX87" s="14">
        <f t="shared" si="67"/>
        <v>0</v>
      </c>
      <c r="FD87" s="14">
        <f>SUM(FE87:GH87)</f>
        <v>0</v>
      </c>
      <c r="GI87" s="14">
        <f t="shared" si="68"/>
        <v>0</v>
      </c>
      <c r="HO87" s="14">
        <f t="shared" si="69"/>
        <v>0</v>
      </c>
      <c r="IU87" s="14">
        <f>SUM(IV87:JY87)</f>
        <v>0</v>
      </c>
      <c r="JZ87" s="14">
        <f t="shared" si="70"/>
        <v>0</v>
      </c>
      <c r="LF87" s="14">
        <f>SUM(LG87:MJ87)</f>
        <v>0</v>
      </c>
      <c r="MK87" s="14">
        <f t="shared" si="71"/>
        <v>0</v>
      </c>
    </row>
    <row r="88" spans="1:349" x14ac:dyDescent="0.2">
      <c r="B88" s="15" t="s">
        <v>45</v>
      </c>
      <c r="C88" s="14">
        <f t="shared" si="62"/>
        <v>97367</v>
      </c>
      <c r="D88" s="14">
        <f t="shared" si="63"/>
        <v>0</v>
      </c>
      <c r="G88" s="3"/>
      <c r="P88" s="3"/>
      <c r="Q88" s="3"/>
      <c r="R88" s="3"/>
      <c r="S88" s="3"/>
      <c r="T88" s="3"/>
      <c r="W88" s="3"/>
      <c r="X88" s="3"/>
      <c r="Y88" s="3"/>
      <c r="Z88" s="3"/>
      <c r="AA88" s="3"/>
      <c r="AD88" s="3"/>
      <c r="AE88" s="3"/>
      <c r="AF88" s="3"/>
      <c r="AG88" s="3"/>
      <c r="AH88" s="3"/>
      <c r="AJ88" s="14">
        <f t="shared" si="64"/>
        <v>0</v>
      </c>
      <c r="BM88" s="14">
        <f t="shared" si="65"/>
        <v>60017</v>
      </c>
      <c r="BQ88" s="2">
        <v>3000</v>
      </c>
      <c r="BS88" s="2">
        <v>13200</v>
      </c>
      <c r="CC88" s="2">
        <v>38617</v>
      </c>
      <c r="CM88" s="1">
        <v>5000</v>
      </c>
      <c r="CQ88" s="1">
        <v>200</v>
      </c>
      <c r="CS88" s="14">
        <f t="shared" si="66"/>
        <v>0</v>
      </c>
      <c r="DX88" s="14">
        <f t="shared" si="67"/>
        <v>37350</v>
      </c>
      <c r="EK88" s="1">
        <v>25000</v>
      </c>
      <c r="EL88" s="1">
        <v>12000</v>
      </c>
      <c r="EP88" s="1">
        <v>350</v>
      </c>
      <c r="FD88" s="14">
        <f>SUM(FE88:GH88)</f>
        <v>0</v>
      </c>
      <c r="GI88" s="14">
        <f t="shared" si="68"/>
        <v>0</v>
      </c>
      <c r="HO88" s="14">
        <f t="shared" si="69"/>
        <v>0</v>
      </c>
      <c r="IU88" s="14">
        <f>SUM(IV88:JY88)</f>
        <v>0</v>
      </c>
      <c r="JE88" s="1"/>
      <c r="JZ88" s="14">
        <f t="shared" si="70"/>
        <v>0</v>
      </c>
      <c r="LF88" s="14">
        <f>SUM(LG88:MJ88)</f>
        <v>0</v>
      </c>
      <c r="MK88" s="14">
        <f t="shared" si="71"/>
        <v>0</v>
      </c>
    </row>
    <row r="89" spans="1:349" x14ac:dyDescent="0.2">
      <c r="B89" s="15" t="s">
        <v>46</v>
      </c>
      <c r="C89" s="14">
        <f t="shared" si="62"/>
        <v>234310</v>
      </c>
      <c r="D89" s="14">
        <f t="shared" si="63"/>
        <v>0</v>
      </c>
      <c r="G89" s="3"/>
      <c r="P89" s="3"/>
      <c r="Q89" s="3"/>
      <c r="R89" s="3"/>
      <c r="S89" s="3"/>
      <c r="T89" s="3"/>
      <c r="W89" s="3"/>
      <c r="X89" s="3"/>
      <c r="Y89" s="3"/>
      <c r="Z89" s="3"/>
      <c r="AA89" s="3"/>
      <c r="AD89" s="3"/>
      <c r="AE89" s="3"/>
      <c r="AF89" s="3"/>
      <c r="AG89" s="3"/>
      <c r="AH89" s="3"/>
      <c r="AJ89" s="14">
        <f t="shared" si="64"/>
        <v>0</v>
      </c>
      <c r="BM89" s="14">
        <f t="shared" si="65"/>
        <v>169710</v>
      </c>
      <c r="CC89" s="2">
        <f>740+970+15200</f>
        <v>16910</v>
      </c>
      <c r="CD89" s="1">
        <v>16000</v>
      </c>
      <c r="CJ89" s="1">
        <v>73000</v>
      </c>
      <c r="CM89" s="1">
        <v>1800</v>
      </c>
      <c r="CN89" s="1">
        <v>62000</v>
      </c>
      <c r="CS89" s="14">
        <f t="shared" si="66"/>
        <v>58000</v>
      </c>
      <c r="DJ89" s="1">
        <v>17000</v>
      </c>
      <c r="DP89" s="1">
        <v>30000</v>
      </c>
      <c r="DT89" s="1">
        <v>11000</v>
      </c>
      <c r="DX89" s="14">
        <f t="shared" si="67"/>
        <v>6600</v>
      </c>
      <c r="EE89" s="1">
        <v>6600</v>
      </c>
      <c r="FD89" s="14">
        <f>SUM(FE89:GH89)</f>
        <v>0</v>
      </c>
      <c r="GI89" s="14">
        <f t="shared" si="68"/>
        <v>0</v>
      </c>
      <c r="HO89" s="14">
        <f t="shared" si="69"/>
        <v>0</v>
      </c>
      <c r="IU89" s="14">
        <f>SUM(IV89:JY89)</f>
        <v>0</v>
      </c>
      <c r="JE89" s="1"/>
      <c r="JZ89" s="14">
        <f t="shared" si="70"/>
        <v>0</v>
      </c>
      <c r="LF89" s="14">
        <f>SUM(LG89:MJ89)</f>
        <v>0</v>
      </c>
      <c r="MK89" s="14">
        <f t="shared" si="71"/>
        <v>0</v>
      </c>
    </row>
    <row r="90" spans="1:349" x14ac:dyDescent="0.2">
      <c r="B90" s="15" t="s">
        <v>50</v>
      </c>
      <c r="C90" s="14">
        <f t="shared" si="62"/>
        <v>89836</v>
      </c>
      <c r="D90" s="14">
        <f t="shared" si="63"/>
        <v>0</v>
      </c>
      <c r="G90" s="3"/>
      <c r="P90" s="3"/>
      <c r="Q90" s="3"/>
      <c r="R90" s="3"/>
      <c r="S90" s="3"/>
      <c r="T90" s="3"/>
      <c r="W90" s="3"/>
      <c r="X90" s="3"/>
      <c r="Y90" s="3"/>
      <c r="Z90" s="3"/>
      <c r="AA90" s="3"/>
      <c r="AD90" s="3"/>
      <c r="AE90" s="3"/>
      <c r="AF90" s="3"/>
      <c r="AG90" s="3"/>
      <c r="AH90" s="3"/>
      <c r="AJ90" s="14">
        <f t="shared" si="64"/>
        <v>0</v>
      </c>
      <c r="BM90" s="14">
        <f t="shared" si="65"/>
        <v>33836</v>
      </c>
      <c r="BR90" s="2">
        <v>33600</v>
      </c>
      <c r="BW90" s="2">
        <v>236</v>
      </c>
      <c r="CS90" s="14">
        <f t="shared" si="66"/>
        <v>0</v>
      </c>
      <c r="DX90" s="14">
        <f t="shared" si="67"/>
        <v>56000</v>
      </c>
      <c r="DZ90" s="1">
        <v>24800</v>
      </c>
      <c r="ED90" s="1">
        <v>27800</v>
      </c>
      <c r="EM90" s="1">
        <v>3400</v>
      </c>
      <c r="FD90" s="14">
        <f>SUM(FE90:GH90)</f>
        <v>0</v>
      </c>
      <c r="GI90" s="14">
        <f t="shared" si="68"/>
        <v>0</v>
      </c>
      <c r="HO90" s="14">
        <f t="shared" si="69"/>
        <v>0</v>
      </c>
      <c r="IU90" s="14">
        <f>SUM(IV90:JY90)</f>
        <v>0</v>
      </c>
      <c r="JE90" s="1"/>
      <c r="JZ90" s="14">
        <f t="shared" si="70"/>
        <v>0</v>
      </c>
      <c r="LF90" s="14">
        <f>SUM(LG90:MJ90)</f>
        <v>0</v>
      </c>
      <c r="MK90" s="14">
        <f t="shared" si="71"/>
        <v>0</v>
      </c>
    </row>
    <row r="91" spans="1:349" s="7" customFormat="1" x14ac:dyDescent="0.2">
      <c r="A91" s="1"/>
      <c r="B91" s="24"/>
    </row>
    <row r="92" spans="1:349" s="7" customFormat="1" x14ac:dyDescent="0.2">
      <c r="A92" s="1"/>
      <c r="B92" s="27" t="s">
        <v>106</v>
      </c>
      <c r="C92" s="13">
        <f>SUM(C93:C104)</f>
        <v>2682580</v>
      </c>
      <c r="D92" s="13">
        <f>SUM(D93:D104)</f>
        <v>0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13">
        <f>SUM(AJ93:AJ104)</f>
        <v>286660</v>
      </c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13">
        <f>SUM(BM93:BM104)</f>
        <v>1116140</v>
      </c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13">
        <f>SUM(CS93:CS104)</f>
        <v>854120</v>
      </c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13">
        <f>SUM(DX93:DX104)</f>
        <v>425660</v>
      </c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13">
        <f>SUM(FD93:FD104)</f>
        <v>0</v>
      </c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13">
        <f>SUM(GI93:GI104)</f>
        <v>0</v>
      </c>
      <c r="GJ92" s="28"/>
      <c r="GK92" s="28"/>
      <c r="GL92" s="28"/>
      <c r="GM92" s="28"/>
      <c r="GN92" s="28"/>
      <c r="GO92" s="28"/>
      <c r="GP92" s="28"/>
      <c r="GQ92" s="28"/>
      <c r="GR92" s="28"/>
      <c r="GS92" s="28"/>
      <c r="GT92" s="28"/>
      <c r="GU92" s="28"/>
      <c r="GV92" s="28"/>
      <c r="GW92" s="28"/>
      <c r="GX92" s="28"/>
      <c r="GY92" s="28"/>
      <c r="GZ92" s="28"/>
      <c r="HA92" s="28"/>
      <c r="HB92" s="28"/>
      <c r="HC92" s="28"/>
      <c r="HD92" s="28"/>
      <c r="HE92" s="28"/>
      <c r="HF92" s="28"/>
      <c r="HG92" s="28"/>
      <c r="HH92" s="28"/>
      <c r="HI92" s="28"/>
      <c r="HJ92" s="28"/>
      <c r="HK92" s="28"/>
      <c r="HL92" s="28"/>
      <c r="HM92" s="28"/>
      <c r="HN92" s="28"/>
      <c r="HO92" s="13">
        <f>SUM(HO93:HO104)</f>
        <v>0</v>
      </c>
      <c r="HP92" s="28"/>
      <c r="HQ92" s="28"/>
      <c r="HR92" s="28"/>
      <c r="HS92" s="28"/>
      <c r="HT92" s="28"/>
      <c r="HU92" s="28"/>
      <c r="HV92" s="28"/>
      <c r="HW92" s="28"/>
      <c r="HX92" s="28"/>
      <c r="HY92" s="28"/>
      <c r="HZ92" s="28"/>
      <c r="IA92" s="28"/>
      <c r="IB92" s="28"/>
      <c r="IC92" s="28"/>
      <c r="ID92" s="28"/>
      <c r="IE92" s="28"/>
      <c r="IF92" s="28"/>
      <c r="IG92" s="28"/>
      <c r="IH92" s="28"/>
      <c r="II92" s="28"/>
      <c r="IJ92" s="28"/>
      <c r="IK92" s="28"/>
      <c r="IL92" s="28"/>
      <c r="IM92" s="28"/>
      <c r="IN92" s="28"/>
      <c r="IO92" s="28"/>
      <c r="IP92" s="28"/>
      <c r="IQ92" s="28"/>
      <c r="IR92" s="28"/>
      <c r="IS92" s="28"/>
      <c r="IT92" s="28"/>
      <c r="IU92" s="13">
        <f>SUM(IU93:IU104)</f>
        <v>0</v>
      </c>
      <c r="IV92" s="28"/>
      <c r="IW92" s="28"/>
      <c r="IX92" s="28"/>
      <c r="IY92" s="28"/>
      <c r="IZ92" s="28"/>
      <c r="JA92" s="28"/>
      <c r="JB92" s="28"/>
      <c r="JC92" s="28"/>
      <c r="JD92" s="28"/>
      <c r="JE92" s="28"/>
      <c r="JF92" s="28"/>
      <c r="JG92" s="28"/>
      <c r="JH92" s="28"/>
      <c r="JI92" s="28"/>
      <c r="JJ92" s="28"/>
      <c r="JK92" s="28"/>
      <c r="JL92" s="28"/>
      <c r="JM92" s="28"/>
      <c r="JN92" s="28"/>
      <c r="JO92" s="28"/>
      <c r="JP92" s="28"/>
      <c r="JQ92" s="28"/>
      <c r="JR92" s="28"/>
      <c r="JS92" s="28"/>
      <c r="JT92" s="28"/>
      <c r="JU92" s="28"/>
      <c r="JV92" s="28"/>
      <c r="JW92" s="28"/>
      <c r="JX92" s="28"/>
      <c r="JY92" s="28"/>
      <c r="JZ92" s="13">
        <f>SUM(JZ93:JZ104)</f>
        <v>0</v>
      </c>
      <c r="KA92" s="28"/>
      <c r="KB92" s="28"/>
      <c r="KC92" s="28"/>
      <c r="KD92" s="28"/>
      <c r="KE92" s="28"/>
      <c r="KF92" s="28"/>
      <c r="KG92" s="28"/>
      <c r="KH92" s="28"/>
      <c r="KI92" s="28"/>
      <c r="KJ92" s="28"/>
      <c r="KK92" s="28"/>
      <c r="KL92" s="28"/>
      <c r="KM92" s="28"/>
      <c r="KN92" s="28"/>
      <c r="KO92" s="28"/>
      <c r="KP92" s="28"/>
      <c r="KQ92" s="28"/>
      <c r="KR92" s="28"/>
      <c r="KS92" s="28"/>
      <c r="KT92" s="28"/>
      <c r="KU92" s="28"/>
      <c r="KV92" s="28"/>
      <c r="KW92" s="28"/>
      <c r="KX92" s="28"/>
      <c r="KY92" s="28"/>
      <c r="KZ92" s="28"/>
      <c r="LA92" s="28"/>
      <c r="LB92" s="28"/>
      <c r="LC92" s="28"/>
      <c r="LD92" s="28"/>
      <c r="LE92" s="28"/>
      <c r="LF92" s="13">
        <f>SUM(LF93:LF104)</f>
        <v>0</v>
      </c>
      <c r="LG92" s="28"/>
      <c r="LH92" s="28"/>
      <c r="LI92" s="28"/>
      <c r="LJ92" s="28"/>
      <c r="LK92" s="28"/>
      <c r="LL92" s="28"/>
      <c r="LM92" s="28"/>
      <c r="LN92" s="28"/>
      <c r="LO92" s="28"/>
      <c r="LP92" s="28"/>
      <c r="LQ92" s="28"/>
      <c r="LR92" s="28"/>
      <c r="LS92" s="28"/>
      <c r="LT92" s="28"/>
      <c r="LU92" s="28"/>
      <c r="LV92" s="28"/>
      <c r="LW92" s="28"/>
      <c r="LX92" s="28"/>
      <c r="LY92" s="28"/>
      <c r="LZ92" s="28"/>
      <c r="MA92" s="28"/>
      <c r="MB92" s="28"/>
      <c r="MC92" s="28"/>
      <c r="MD92" s="28"/>
      <c r="ME92" s="28"/>
      <c r="MF92" s="28"/>
      <c r="MG92" s="28"/>
      <c r="MH92" s="28"/>
      <c r="MI92" s="28"/>
      <c r="MJ92" s="28"/>
      <c r="MK92" s="13">
        <f>SUM(MK93:MK104)</f>
        <v>0</v>
      </c>
    </row>
    <row r="93" spans="1:349" s="2" customFormat="1" x14ac:dyDescent="0.2">
      <c r="A93" s="1"/>
      <c r="B93" s="15" t="s">
        <v>96</v>
      </c>
      <c r="C93" s="14">
        <f t="shared" ref="C93:C106" si="72">D93+AJ93+BM93+CS93+DX93+FD93+GI93+HO93+IU93+JZ93+LF93+MK93</f>
        <v>159000</v>
      </c>
      <c r="D93" s="14">
        <f>SUM(E93:AI93)</f>
        <v>0</v>
      </c>
      <c r="G93" s="3"/>
      <c r="P93" s="3"/>
      <c r="Q93" s="3"/>
      <c r="R93" s="3"/>
      <c r="S93" s="3"/>
      <c r="T93" s="3"/>
      <c r="W93" s="3"/>
      <c r="X93" s="3"/>
      <c r="Y93" s="3"/>
      <c r="Z93" s="3"/>
      <c r="AA93" s="3"/>
      <c r="AD93" s="3"/>
      <c r="AE93" s="3"/>
      <c r="AF93" s="3"/>
      <c r="AG93" s="3"/>
      <c r="AH93" s="3"/>
      <c r="AJ93" s="14">
        <f t="shared" ref="AJ93:AJ104" si="73">SUM(AK93:BL93)</f>
        <v>20000</v>
      </c>
      <c r="BG93" s="2">
        <v>20000</v>
      </c>
      <c r="BM93" s="14">
        <f t="shared" ref="BM93:BM99" si="74">SUM(BN93:CR93)</f>
        <v>0</v>
      </c>
      <c r="CS93" s="14">
        <f>SUM(CT93:DW93)</f>
        <v>139000</v>
      </c>
      <c r="DJ93" s="2">
        <v>129000</v>
      </c>
      <c r="DT93" s="2">
        <v>10000</v>
      </c>
      <c r="DX93" s="14">
        <f t="shared" ref="DX93:DX99" si="75">SUM(DY93:FC93)</f>
        <v>0</v>
      </c>
      <c r="FD93" s="14">
        <f>SUM(FE93:GH93)</f>
        <v>0</v>
      </c>
      <c r="GI93" s="14">
        <f>SUM(GJ93:HN93)</f>
        <v>0</v>
      </c>
      <c r="HO93" s="14">
        <f>SUM(HP93:IT93)</f>
        <v>0</v>
      </c>
      <c r="IU93" s="14">
        <f>SUM(IV93:JY93)</f>
        <v>0</v>
      </c>
      <c r="JZ93" s="14">
        <f>SUM(KA93:LE93)</f>
        <v>0</v>
      </c>
      <c r="LF93" s="14">
        <f>SUM(LG93:MJ93)</f>
        <v>0</v>
      </c>
      <c r="MK93" s="14">
        <f>SUM(ML93:NP93)</f>
        <v>0</v>
      </c>
    </row>
    <row r="94" spans="1:349" x14ac:dyDescent="0.2">
      <c r="B94" s="15" t="s">
        <v>48</v>
      </c>
      <c r="C94" s="14">
        <f t="shared" si="72"/>
        <v>13000</v>
      </c>
      <c r="D94" s="14">
        <f t="shared" ref="D94:D96" si="76">SUM(E94:AI94)</f>
        <v>0</v>
      </c>
      <c r="G94" s="3"/>
      <c r="P94" s="3"/>
      <c r="Q94" s="3"/>
      <c r="R94" s="3"/>
      <c r="S94" s="3"/>
      <c r="T94" s="3"/>
      <c r="W94" s="3"/>
      <c r="X94" s="3"/>
      <c r="Y94" s="3"/>
      <c r="Z94" s="3"/>
      <c r="AA94" s="3"/>
      <c r="AD94" s="3"/>
      <c r="AE94" s="3"/>
      <c r="AF94" s="3"/>
      <c r="AG94" s="3"/>
      <c r="AH94" s="3"/>
      <c r="AJ94" s="14">
        <f t="shared" si="73"/>
        <v>0</v>
      </c>
      <c r="BM94" s="14">
        <f t="shared" si="74"/>
        <v>0</v>
      </c>
      <c r="CS94" s="14">
        <f>SUM(CT94:DW94)</f>
        <v>13000</v>
      </c>
      <c r="CY94" s="1">
        <v>13000</v>
      </c>
      <c r="DX94" s="14">
        <f t="shared" si="75"/>
        <v>0</v>
      </c>
      <c r="FD94" s="14">
        <f t="shared" ref="FD94:FD96" si="77">SUM(FE94:GH94)</f>
        <v>0</v>
      </c>
      <c r="GI94" s="14">
        <f t="shared" ref="GI94:GI96" si="78">SUM(GJ94:HN94)</f>
        <v>0</v>
      </c>
      <c r="HO94" s="14">
        <f t="shared" ref="HO94:HO96" si="79">SUM(HP94:IT94)</f>
        <v>0</v>
      </c>
      <c r="IU94" s="14">
        <f t="shared" ref="IU94:IU96" si="80">SUM(IV94:JY94)</f>
        <v>0</v>
      </c>
      <c r="JE94" s="1"/>
      <c r="JZ94" s="14">
        <f t="shared" ref="JZ94:JZ96" si="81">SUM(KA94:LE94)</f>
        <v>0</v>
      </c>
      <c r="LF94" s="14">
        <f t="shared" ref="LF94:LF96" si="82">SUM(LG94:MJ94)</f>
        <v>0</v>
      </c>
      <c r="MK94" s="14">
        <f t="shared" ref="MK94:MK96" si="83">SUM(ML94:NP94)</f>
        <v>0</v>
      </c>
    </row>
    <row r="95" spans="1:349" x14ac:dyDescent="0.2">
      <c r="B95" s="15" t="s">
        <v>51</v>
      </c>
      <c r="C95" s="14">
        <f t="shared" si="72"/>
        <v>25000</v>
      </c>
      <c r="D95" s="14">
        <f t="shared" si="76"/>
        <v>0</v>
      </c>
      <c r="G95" s="3"/>
      <c r="P95" s="3"/>
      <c r="Q95" s="3"/>
      <c r="R95" s="3"/>
      <c r="S95" s="3"/>
      <c r="T95" s="3"/>
      <c r="W95" s="3"/>
      <c r="X95" s="3"/>
      <c r="Y95" s="3"/>
      <c r="Z95" s="3"/>
      <c r="AA95" s="3"/>
      <c r="AD95" s="3"/>
      <c r="AE95" s="3"/>
      <c r="AF95" s="3"/>
      <c r="AG95" s="3"/>
      <c r="AH95" s="3"/>
      <c r="AJ95" s="14">
        <f t="shared" si="73"/>
        <v>0</v>
      </c>
      <c r="BM95" s="14">
        <f t="shared" si="74"/>
        <v>0</v>
      </c>
      <c r="CS95" s="14">
        <f>SUM(CT95:DW95)</f>
        <v>0</v>
      </c>
      <c r="DX95" s="14">
        <f t="shared" si="75"/>
        <v>25000</v>
      </c>
      <c r="EI95" s="1">
        <v>25000</v>
      </c>
      <c r="FD95" s="14">
        <f t="shared" si="77"/>
        <v>0</v>
      </c>
      <c r="GI95" s="14">
        <f t="shared" si="78"/>
        <v>0</v>
      </c>
      <c r="HO95" s="14">
        <f t="shared" si="79"/>
        <v>0</v>
      </c>
      <c r="IU95" s="14">
        <f t="shared" si="80"/>
        <v>0</v>
      </c>
      <c r="JE95" s="1"/>
      <c r="JZ95" s="14">
        <f t="shared" si="81"/>
        <v>0</v>
      </c>
      <c r="LF95" s="14">
        <f t="shared" si="82"/>
        <v>0</v>
      </c>
      <c r="MK95" s="14">
        <f t="shared" si="83"/>
        <v>0</v>
      </c>
    </row>
    <row r="96" spans="1:349" x14ac:dyDescent="0.2">
      <c r="B96" s="15" t="s">
        <v>52</v>
      </c>
      <c r="C96" s="14">
        <f t="shared" si="72"/>
        <v>5000</v>
      </c>
      <c r="D96" s="14">
        <f t="shared" si="76"/>
        <v>0</v>
      </c>
      <c r="G96" s="3"/>
      <c r="P96" s="3"/>
      <c r="Q96" s="3"/>
      <c r="R96" s="3"/>
      <c r="S96" s="3"/>
      <c r="T96" s="3"/>
      <c r="W96" s="3"/>
      <c r="X96" s="3"/>
      <c r="Y96" s="3"/>
      <c r="Z96" s="3"/>
      <c r="AA96" s="3"/>
      <c r="AD96" s="3"/>
      <c r="AE96" s="3"/>
      <c r="AF96" s="3"/>
      <c r="AG96" s="3"/>
      <c r="AH96" s="3"/>
      <c r="AJ96" s="14">
        <f t="shared" si="73"/>
        <v>0</v>
      </c>
      <c r="BM96" s="14">
        <f t="shared" si="74"/>
        <v>5000</v>
      </c>
      <c r="CE96" s="1">
        <v>5000</v>
      </c>
      <c r="CS96" s="14">
        <f>SUM(CT96:DW96)</f>
        <v>0</v>
      </c>
      <c r="DX96" s="14">
        <f t="shared" si="75"/>
        <v>0</v>
      </c>
      <c r="FD96" s="14">
        <f t="shared" si="77"/>
        <v>0</v>
      </c>
      <c r="GI96" s="14">
        <f t="shared" si="78"/>
        <v>0</v>
      </c>
      <c r="HO96" s="14">
        <f t="shared" si="79"/>
        <v>0</v>
      </c>
      <c r="IU96" s="14">
        <f t="shared" si="80"/>
        <v>0</v>
      </c>
      <c r="JE96" s="1"/>
      <c r="JZ96" s="14">
        <f t="shared" si="81"/>
        <v>0</v>
      </c>
      <c r="LF96" s="14">
        <f t="shared" si="82"/>
        <v>0</v>
      </c>
      <c r="MK96" s="14">
        <f t="shared" si="83"/>
        <v>0</v>
      </c>
    </row>
    <row r="97" spans="1:349" s="2" customFormat="1" x14ac:dyDescent="0.2">
      <c r="A97" s="1" t="s">
        <v>107</v>
      </c>
      <c r="B97" s="24" t="s">
        <v>16</v>
      </c>
      <c r="C97" s="14">
        <f t="shared" si="72"/>
        <v>836540</v>
      </c>
      <c r="D97" s="14"/>
      <c r="G97" s="3"/>
      <c r="P97" s="3"/>
      <c r="Q97" s="3"/>
      <c r="R97" s="3"/>
      <c r="S97" s="3"/>
      <c r="T97" s="3"/>
      <c r="W97" s="3"/>
      <c r="X97" s="3"/>
      <c r="Y97" s="3"/>
      <c r="Z97" s="3"/>
      <c r="AA97" s="3"/>
      <c r="AD97" s="3"/>
      <c r="AE97" s="3"/>
      <c r="AF97" s="3"/>
      <c r="AG97" s="3"/>
      <c r="AH97" s="3"/>
      <c r="AJ97" s="14">
        <f t="shared" si="73"/>
        <v>135000</v>
      </c>
      <c r="BH97" s="2">
        <v>135000</v>
      </c>
      <c r="BM97" s="14">
        <f t="shared" si="74"/>
        <v>701540</v>
      </c>
      <c r="CD97" s="2">
        <v>701540</v>
      </c>
      <c r="CS97" s="14">
        <f t="shared" ref="CS97" si="84">SUM(CT97:DW97)</f>
        <v>0</v>
      </c>
      <c r="DX97" s="14">
        <f t="shared" si="75"/>
        <v>0</v>
      </c>
      <c r="FD97" s="14">
        <f t="shared" ref="FD97" si="85">SUM(FE97:GH97)</f>
        <v>0</v>
      </c>
      <c r="GI97" s="14">
        <f>SUM(GJ97:HN97)</f>
        <v>0</v>
      </c>
      <c r="HO97" s="14">
        <f>SUM(HP97:IT97)</f>
        <v>0</v>
      </c>
      <c r="IU97" s="14">
        <f t="shared" ref="IU97" si="86">SUM(IV97:JY97)</f>
        <v>0</v>
      </c>
      <c r="JZ97" s="14">
        <f>SUM(KA97:LE97)</f>
        <v>0</v>
      </c>
      <c r="LF97" s="14">
        <f t="shared" ref="LF97" si="87">SUM(LG97:MJ97)</f>
        <v>0</v>
      </c>
      <c r="MK97" s="14">
        <f>SUM(ML97:NP97)</f>
        <v>0</v>
      </c>
    </row>
    <row r="98" spans="1:349" s="2" customFormat="1" x14ac:dyDescent="0.2">
      <c r="A98" s="1" t="s">
        <v>107</v>
      </c>
      <c r="B98" s="15" t="s">
        <v>29</v>
      </c>
      <c r="C98" s="14">
        <f t="shared" si="72"/>
        <v>800000</v>
      </c>
      <c r="D98" s="14">
        <f t="shared" ref="D98:D104" si="88">SUM(E98:AI98)</f>
        <v>0</v>
      </c>
      <c r="G98" s="3"/>
      <c r="P98" s="3"/>
      <c r="Q98" s="3"/>
      <c r="R98" s="3"/>
      <c r="S98" s="3"/>
      <c r="T98" s="3"/>
      <c r="W98" s="3"/>
      <c r="X98" s="3"/>
      <c r="Y98" s="3"/>
      <c r="Z98" s="3"/>
      <c r="AA98" s="3"/>
      <c r="AD98" s="3"/>
      <c r="AE98" s="3"/>
      <c r="AF98" s="3"/>
      <c r="AG98" s="3"/>
      <c r="AH98" s="3"/>
      <c r="AJ98" s="14">
        <f t="shared" si="73"/>
        <v>0</v>
      </c>
      <c r="BM98" s="14">
        <f t="shared" si="74"/>
        <v>400000</v>
      </c>
      <c r="CK98" s="2">
        <v>200000</v>
      </c>
      <c r="CN98" s="2">
        <v>200000</v>
      </c>
      <c r="CS98" s="14">
        <f>SUM(CT98:DW98)</f>
        <v>200000</v>
      </c>
      <c r="DJ98" s="2">
        <v>200000</v>
      </c>
      <c r="DX98" s="14">
        <f t="shared" si="75"/>
        <v>200000</v>
      </c>
      <c r="ES98" s="2">
        <v>200000</v>
      </c>
      <c r="FD98" s="14">
        <f>SUM(FE98:GH98)</f>
        <v>0</v>
      </c>
      <c r="GI98" s="14">
        <f>SUM(GJ98:HN98)</f>
        <v>0</v>
      </c>
      <c r="HO98" s="14">
        <f>SUM(HP98:IT98)</f>
        <v>0</v>
      </c>
      <c r="IU98" s="14">
        <f>SUM(IV98:JY98)</f>
        <v>0</v>
      </c>
      <c r="JZ98" s="14">
        <f>SUM(KA98:LE98)</f>
        <v>0</v>
      </c>
      <c r="LF98" s="14">
        <f>SUM(LG98:MJ98)</f>
        <v>0</v>
      </c>
      <c r="MK98" s="14">
        <f>SUM(ML98:NP98)</f>
        <v>0</v>
      </c>
    </row>
    <row r="99" spans="1:349" x14ac:dyDescent="0.2">
      <c r="A99" s="1" t="s">
        <v>107</v>
      </c>
      <c r="B99" s="15" t="s">
        <v>94</v>
      </c>
      <c r="C99" s="14">
        <f t="shared" si="72"/>
        <v>700000</v>
      </c>
      <c r="D99" s="14">
        <f t="shared" si="88"/>
        <v>0</v>
      </c>
      <c r="G99" s="3"/>
      <c r="P99" s="3"/>
      <c r="Q99" s="3"/>
      <c r="R99" s="3"/>
      <c r="S99" s="3"/>
      <c r="T99" s="3"/>
      <c r="W99" s="3"/>
      <c r="X99" s="3"/>
      <c r="Y99" s="3"/>
      <c r="Z99" s="3"/>
      <c r="AA99" s="3"/>
      <c r="AD99" s="3"/>
      <c r="AE99" s="3"/>
      <c r="AF99" s="3"/>
      <c r="AG99" s="3"/>
      <c r="AH99" s="3"/>
      <c r="AJ99" s="14">
        <f t="shared" si="73"/>
        <v>0</v>
      </c>
      <c r="BM99" s="14">
        <f t="shared" si="74"/>
        <v>0</v>
      </c>
      <c r="CS99" s="14">
        <f>SUM(CT99:DW99)</f>
        <v>500000</v>
      </c>
      <c r="CX99" s="1">
        <v>300000</v>
      </c>
      <c r="DM99" s="1">
        <v>100000</v>
      </c>
      <c r="DW99" s="1">
        <v>100000</v>
      </c>
      <c r="DX99" s="14">
        <f t="shared" si="75"/>
        <v>200000</v>
      </c>
      <c r="EQ99" s="1">
        <v>100000</v>
      </c>
      <c r="FA99" s="1">
        <v>100000</v>
      </c>
      <c r="FD99" s="14">
        <f>SUM(FE99:GH99)</f>
        <v>0</v>
      </c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14">
        <f>SUM(GJ99:HN99)</f>
        <v>0</v>
      </c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14">
        <f>SUM(HP99:IT99)</f>
        <v>0</v>
      </c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14">
        <f>SUM(IV99:JY99)</f>
        <v>0</v>
      </c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14">
        <f>SUM(KA99:LE99)</f>
        <v>0</v>
      </c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14">
        <f>SUM(LG99:MJ99)</f>
        <v>0</v>
      </c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14">
        <f>SUM(ML99:NP99)</f>
        <v>0</v>
      </c>
    </row>
    <row r="100" spans="1:349" s="2" customFormat="1" x14ac:dyDescent="0.2">
      <c r="A100" s="1" t="s">
        <v>24</v>
      </c>
      <c r="B100" s="24" t="s">
        <v>23</v>
      </c>
      <c r="C100" s="14">
        <f t="shared" si="72"/>
        <v>127860</v>
      </c>
      <c r="D100" s="14">
        <f t="shared" si="88"/>
        <v>0</v>
      </c>
      <c r="G100" s="3"/>
      <c r="P100" s="3"/>
      <c r="Q100" s="3"/>
      <c r="R100" s="3"/>
      <c r="S100" s="3"/>
      <c r="T100" s="3"/>
      <c r="W100" s="3"/>
      <c r="X100" s="3"/>
      <c r="Y100" s="3"/>
      <c r="Z100" s="3"/>
      <c r="AA100" s="3"/>
      <c r="AD100" s="3"/>
      <c r="AE100" s="3"/>
      <c r="AF100" s="3"/>
      <c r="AG100" s="3"/>
      <c r="AH100" s="3"/>
      <c r="AJ100" s="14">
        <f t="shared" si="73"/>
        <v>127860</v>
      </c>
      <c r="AW100" s="2">
        <v>127860</v>
      </c>
      <c r="BM100" s="14">
        <f t="shared" ref="BM100:BM103" si="89">SUM(BN100:CR100)</f>
        <v>0</v>
      </c>
      <c r="CS100" s="14">
        <f t="shared" ref="CS100:CS103" si="90">SUM(CT100:DW100)</f>
        <v>0</v>
      </c>
      <c r="DX100" s="14">
        <f t="shared" ref="DX100:DX103" si="91">SUM(DY100:FC100)</f>
        <v>0</v>
      </c>
      <c r="FD100" s="14">
        <f t="shared" ref="FD100:FD103" si="92">SUM(FE100:GH100)</f>
        <v>0</v>
      </c>
      <c r="GI100" s="14">
        <f t="shared" ref="GI100:GI103" si="93">SUM(GJ100:HN100)</f>
        <v>0</v>
      </c>
      <c r="HO100" s="14">
        <f t="shared" ref="HO100:HO103" si="94">SUM(HP100:IT100)</f>
        <v>0</v>
      </c>
      <c r="IU100" s="14">
        <f t="shared" ref="IU100:IU103" si="95">SUM(IV100:JY100)</f>
        <v>0</v>
      </c>
      <c r="JZ100" s="14">
        <f t="shared" ref="JZ100:JZ103" si="96">SUM(KA100:LE100)</f>
        <v>0</v>
      </c>
      <c r="LF100" s="14">
        <f t="shared" ref="LF100:LF103" si="97">SUM(LG100:MJ100)</f>
        <v>0</v>
      </c>
      <c r="MK100" s="14">
        <f t="shared" ref="MK100:MK103" si="98">SUM(ML100:NP100)</f>
        <v>0</v>
      </c>
    </row>
    <row r="101" spans="1:349" s="2" customFormat="1" x14ac:dyDescent="0.2">
      <c r="A101" s="1" t="s">
        <v>24</v>
      </c>
      <c r="B101" s="15" t="s">
        <v>28</v>
      </c>
      <c r="C101" s="14">
        <f t="shared" si="72"/>
        <v>3800</v>
      </c>
      <c r="D101" s="14">
        <f t="shared" si="88"/>
        <v>0</v>
      </c>
      <c r="G101" s="3"/>
      <c r="P101" s="3"/>
      <c r="Q101" s="3"/>
      <c r="R101" s="3"/>
      <c r="S101" s="3"/>
      <c r="T101" s="3"/>
      <c r="W101" s="3"/>
      <c r="X101" s="3"/>
      <c r="Y101" s="3"/>
      <c r="Z101" s="3"/>
      <c r="AA101" s="3"/>
      <c r="AD101" s="3"/>
      <c r="AE101" s="3"/>
      <c r="AF101" s="3"/>
      <c r="AG101" s="3"/>
      <c r="AH101" s="3"/>
      <c r="AJ101" s="14">
        <f t="shared" si="73"/>
        <v>3800</v>
      </c>
      <c r="BI101" s="2">
        <v>3800</v>
      </c>
      <c r="BM101" s="14">
        <f t="shared" si="89"/>
        <v>0</v>
      </c>
      <c r="CS101" s="14">
        <f t="shared" si="90"/>
        <v>0</v>
      </c>
      <c r="DX101" s="14">
        <f t="shared" si="91"/>
        <v>0</v>
      </c>
      <c r="FD101" s="14">
        <f t="shared" si="92"/>
        <v>0</v>
      </c>
      <c r="GI101" s="14">
        <f t="shared" si="93"/>
        <v>0</v>
      </c>
      <c r="HO101" s="14">
        <f t="shared" si="94"/>
        <v>0</v>
      </c>
      <c r="IU101" s="14">
        <f t="shared" si="95"/>
        <v>0</v>
      </c>
      <c r="JZ101" s="14">
        <f t="shared" si="96"/>
        <v>0</v>
      </c>
      <c r="LF101" s="14">
        <f t="shared" si="97"/>
        <v>0</v>
      </c>
      <c r="MK101" s="14">
        <f t="shared" si="98"/>
        <v>0</v>
      </c>
    </row>
    <row r="102" spans="1:349" s="2" customFormat="1" x14ac:dyDescent="0.2">
      <c r="A102" s="1" t="s">
        <v>24</v>
      </c>
      <c r="B102" s="15" t="s">
        <v>30</v>
      </c>
      <c r="C102" s="14">
        <f t="shared" si="72"/>
        <v>9600</v>
      </c>
      <c r="D102" s="14">
        <f t="shared" si="88"/>
        <v>0</v>
      </c>
      <c r="G102" s="3"/>
      <c r="P102" s="3"/>
      <c r="Q102" s="3"/>
      <c r="R102" s="3"/>
      <c r="S102" s="3"/>
      <c r="T102" s="3"/>
      <c r="W102" s="3"/>
      <c r="X102" s="3"/>
      <c r="Y102" s="3"/>
      <c r="Z102" s="3"/>
      <c r="AA102" s="3"/>
      <c r="AD102" s="3"/>
      <c r="AE102" s="3"/>
      <c r="AF102" s="3"/>
      <c r="AG102" s="3"/>
      <c r="AH102" s="3"/>
      <c r="AJ102" s="14">
        <f t="shared" si="73"/>
        <v>0</v>
      </c>
      <c r="BM102" s="14">
        <f>SUM(BN102:CR102)</f>
        <v>9600</v>
      </c>
      <c r="CF102" s="2">
        <v>9600</v>
      </c>
      <c r="CS102" s="14">
        <f>SUM(CT102:DW102)</f>
        <v>0</v>
      </c>
      <c r="DX102" s="14">
        <f t="shared" si="91"/>
        <v>0</v>
      </c>
      <c r="FD102" s="14">
        <f t="shared" si="92"/>
        <v>0</v>
      </c>
      <c r="GI102" s="14">
        <f t="shared" si="93"/>
        <v>0</v>
      </c>
      <c r="HO102" s="14">
        <f t="shared" si="94"/>
        <v>0</v>
      </c>
      <c r="IU102" s="14">
        <f t="shared" si="95"/>
        <v>0</v>
      </c>
      <c r="JZ102" s="14">
        <f t="shared" si="96"/>
        <v>0</v>
      </c>
      <c r="LF102" s="14">
        <f t="shared" si="97"/>
        <v>0</v>
      </c>
      <c r="MK102" s="14">
        <f t="shared" si="98"/>
        <v>0</v>
      </c>
    </row>
    <row r="103" spans="1:349" s="2" customFormat="1" x14ac:dyDescent="0.2">
      <c r="A103" s="1" t="s">
        <v>24</v>
      </c>
      <c r="B103" s="15" t="s">
        <v>31</v>
      </c>
      <c r="C103" s="14">
        <f t="shared" si="72"/>
        <v>2120</v>
      </c>
      <c r="D103" s="14">
        <f t="shared" si="88"/>
        <v>0</v>
      </c>
      <c r="G103" s="3"/>
      <c r="P103" s="3"/>
      <c r="Q103" s="3"/>
      <c r="R103" s="3"/>
      <c r="S103" s="3"/>
      <c r="T103" s="3"/>
      <c r="W103" s="3"/>
      <c r="X103" s="3"/>
      <c r="Y103" s="3"/>
      <c r="Z103" s="3"/>
      <c r="AA103" s="3"/>
      <c r="AD103" s="3"/>
      <c r="AE103" s="3"/>
      <c r="AF103" s="3"/>
      <c r="AG103" s="3"/>
      <c r="AH103" s="3"/>
      <c r="AJ103" s="14">
        <f t="shared" si="73"/>
        <v>0</v>
      </c>
      <c r="BM103" s="14">
        <f t="shared" si="89"/>
        <v>0</v>
      </c>
      <c r="CS103" s="14">
        <f t="shared" si="90"/>
        <v>2120</v>
      </c>
      <c r="CV103" s="2">
        <v>2120</v>
      </c>
      <c r="DX103" s="14">
        <f t="shared" si="91"/>
        <v>0</v>
      </c>
      <c r="FD103" s="14">
        <f t="shared" si="92"/>
        <v>0</v>
      </c>
      <c r="GI103" s="14">
        <f t="shared" si="93"/>
        <v>0</v>
      </c>
      <c r="HO103" s="14">
        <f t="shared" si="94"/>
        <v>0</v>
      </c>
      <c r="IU103" s="14">
        <f t="shared" si="95"/>
        <v>0</v>
      </c>
      <c r="JZ103" s="14">
        <f t="shared" si="96"/>
        <v>0</v>
      </c>
      <c r="LF103" s="14">
        <f t="shared" si="97"/>
        <v>0</v>
      </c>
      <c r="MK103" s="14">
        <f t="shared" si="98"/>
        <v>0</v>
      </c>
    </row>
    <row r="104" spans="1:349" s="2" customFormat="1" x14ac:dyDescent="0.2">
      <c r="A104" s="1" t="s">
        <v>24</v>
      </c>
      <c r="B104" s="15" t="s">
        <v>33</v>
      </c>
      <c r="C104" s="14">
        <f t="shared" si="72"/>
        <v>660</v>
      </c>
      <c r="D104" s="14">
        <f t="shared" si="88"/>
        <v>0</v>
      </c>
      <c r="G104" s="3"/>
      <c r="P104" s="3"/>
      <c r="Q104" s="3"/>
      <c r="R104" s="3"/>
      <c r="S104" s="3"/>
      <c r="T104" s="3"/>
      <c r="W104" s="3"/>
      <c r="X104" s="3"/>
      <c r="Y104" s="3"/>
      <c r="Z104" s="3"/>
      <c r="AA104" s="3"/>
      <c r="AD104" s="3"/>
      <c r="AE104" s="3"/>
      <c r="AF104" s="3"/>
      <c r="AG104" s="3"/>
      <c r="AH104" s="3"/>
      <c r="AJ104" s="14">
        <f t="shared" si="73"/>
        <v>0</v>
      </c>
      <c r="BM104" s="14">
        <f>SUM(BN104:CR104)</f>
        <v>0</v>
      </c>
      <c r="CS104" s="14">
        <f>SUM(CT104:DW104)</f>
        <v>0</v>
      </c>
      <c r="DX104" s="14">
        <f>SUM(DY104:FC104)</f>
        <v>660</v>
      </c>
      <c r="EQ104" s="2">
        <v>660</v>
      </c>
      <c r="FD104" s="14">
        <f>SUM(FE104:GH104)</f>
        <v>0</v>
      </c>
      <c r="GI104" s="14">
        <f>SUM(GJ104:HN104)</f>
        <v>0</v>
      </c>
      <c r="HO104" s="14">
        <f>SUM(HP104:IT104)</f>
        <v>0</v>
      </c>
      <c r="IU104" s="14">
        <f>SUM(IV104:JY104)</f>
        <v>0</v>
      </c>
      <c r="JZ104" s="14">
        <f>SUM(KA104:LE104)</f>
        <v>0</v>
      </c>
      <c r="LF104" s="14">
        <f>SUM(LG104:MJ104)</f>
        <v>0</v>
      </c>
      <c r="MK104" s="14">
        <f>SUM(ML104:NP104)</f>
        <v>0</v>
      </c>
    </row>
    <row r="105" spans="1:349" s="7" customFormat="1" x14ac:dyDescent="0.2">
      <c r="A105" s="1"/>
      <c r="B105" s="24"/>
    </row>
    <row r="106" spans="1:349" s="2" customFormat="1" x14ac:dyDescent="0.2">
      <c r="A106" s="1"/>
      <c r="B106" s="27" t="s">
        <v>108</v>
      </c>
      <c r="C106" s="14">
        <f t="shared" si="72"/>
        <v>14401735.24</v>
      </c>
      <c r="D106" s="14">
        <f>SUM(E106:AI106)</f>
        <v>1930393.5</v>
      </c>
      <c r="G106" s="3"/>
      <c r="J106" s="2">
        <v>363399</v>
      </c>
      <c r="L106" s="2">
        <v>118487</v>
      </c>
      <c r="P106" s="3">
        <f>35000+36645+55000+58430+105000+125000</f>
        <v>415075</v>
      </c>
      <c r="Q106" s="3">
        <f>19575+100000</f>
        <v>119575</v>
      </c>
      <c r="R106" s="3">
        <f>41530</f>
        <v>41530</v>
      </c>
      <c r="S106" s="3">
        <f>39300+125000</f>
        <v>164300</v>
      </c>
      <c r="T106" s="3">
        <v>91437</v>
      </c>
      <c r="W106" s="3">
        <f>255400.5</f>
        <v>255400.5</v>
      </c>
      <c r="X106" s="3"/>
      <c r="Y106" s="3">
        <v>16600</v>
      </c>
      <c r="Z106" s="3">
        <f>30000+10000</f>
        <v>40000</v>
      </c>
      <c r="AA106" s="3">
        <f>50000+17050</f>
        <v>67050</v>
      </c>
      <c r="AD106" s="3">
        <f>40000+50000</f>
        <v>90000</v>
      </c>
      <c r="AE106" s="3"/>
      <c r="AF106" s="3">
        <f>2265+3555+6000</f>
        <v>11820</v>
      </c>
      <c r="AG106" s="3">
        <v>115670</v>
      </c>
      <c r="AH106" s="3">
        <v>20050</v>
      </c>
      <c r="AJ106" s="14">
        <f>SUM(AK106:BL106)</f>
        <v>2685411.2800000003</v>
      </c>
      <c r="AL106" s="2">
        <v>632619</v>
      </c>
      <c r="AM106" s="2">
        <f>6600+18400+60000</f>
        <v>85000</v>
      </c>
      <c r="AN106" s="2">
        <v>19640</v>
      </c>
      <c r="AO106" s="2">
        <f>29520</f>
        <v>29520</v>
      </c>
      <c r="AP106" s="2">
        <f>17040+29520+29028.5+49791.78+52500</f>
        <v>177880.28</v>
      </c>
      <c r="AS106" s="2">
        <f>13706</f>
        <v>13706</v>
      </c>
      <c r="AT106" s="2">
        <f>6090+9900+58328+99650</f>
        <v>173968</v>
      </c>
      <c r="AU106" s="2">
        <f>26666+37320+368300+58050</f>
        <v>490336</v>
      </c>
      <c r="AW106" s="2">
        <f>123212+110007</f>
        <v>233219</v>
      </c>
      <c r="BC106" s="2">
        <v>4356</v>
      </c>
      <c r="BD106" s="2">
        <v>79916</v>
      </c>
      <c r="BG106" s="2">
        <v>125292</v>
      </c>
      <c r="BH106" s="2">
        <v>94440</v>
      </c>
      <c r="BI106" s="2">
        <f>21945+24900+44000+12500</f>
        <v>103345</v>
      </c>
      <c r="BJ106" s="2">
        <f>307149+5040+103325</f>
        <v>415514</v>
      </c>
      <c r="BK106" s="2">
        <v>6660</v>
      </c>
      <c r="BM106" s="14">
        <f>SUM(BN106:CR106)</f>
        <v>3278858.5300000003</v>
      </c>
      <c r="BN106" s="2">
        <v>60000</v>
      </c>
      <c r="BR106" s="2">
        <f>9740+14784+15960+18678+20050+36800+50000+166488+13957</f>
        <v>346457</v>
      </c>
      <c r="BS106" s="2">
        <f>18552+36430+107624.1</f>
        <v>162606.1</v>
      </c>
      <c r="BV106" s="2">
        <f>332071+199800+29665</f>
        <v>561536</v>
      </c>
      <c r="BX106" s="2">
        <v>105000</v>
      </c>
      <c r="BY106" s="2">
        <f>279994</f>
        <v>279994</v>
      </c>
      <c r="BZ106" s="2">
        <f>18400+29425</f>
        <v>47825</v>
      </c>
      <c r="CC106" s="2">
        <f>9600+20725+218500</f>
        <v>248825</v>
      </c>
      <c r="CD106" s="2">
        <f>168650</f>
        <v>168650</v>
      </c>
      <c r="CE106" s="2">
        <f>23173.6+12500+952.35+25776+86135+23817+6500</f>
        <v>178853.95</v>
      </c>
      <c r="CF106" s="2">
        <f>19689+54181</f>
        <v>73870</v>
      </c>
      <c r="CJ106" s="2">
        <f>15687+100000+10025</f>
        <v>125712</v>
      </c>
      <c r="CK106" s="2">
        <f>43200+144096.48+164850+120491+4800</f>
        <v>477437.48</v>
      </c>
      <c r="CL106" s="2">
        <v>153884</v>
      </c>
      <c r="CM106" s="2">
        <v>114953</v>
      </c>
      <c r="CR106" s="2">
        <v>173255</v>
      </c>
      <c r="CS106" s="14">
        <f>SUM(CT106:DW106)</f>
        <v>3948901.81</v>
      </c>
      <c r="CU106" s="2">
        <f>61285+158750</f>
        <v>220035</v>
      </c>
      <c r="CV106" s="2">
        <f>50000+6900+12664+21600+47511+90000+104370+163636+22500</f>
        <v>519181</v>
      </c>
      <c r="CY106" s="2">
        <f>50000+45285+69000+3500</f>
        <v>167785</v>
      </c>
      <c r="CZ106" s="2">
        <v>75720</v>
      </c>
      <c r="DA106" s="2">
        <f>72513.09+100000</f>
        <v>172513.09</v>
      </c>
      <c r="DB106" s="2">
        <f>59249.85</f>
        <v>59249.85</v>
      </c>
      <c r="DC106" s="2">
        <f>3450</f>
        <v>3450</v>
      </c>
      <c r="DD106" s="1">
        <v>130000</v>
      </c>
      <c r="DF106" s="2">
        <f>18500+31500+33946</f>
        <v>83946</v>
      </c>
      <c r="DG106" s="2">
        <f>16605+25725+80000+15030</f>
        <v>137360</v>
      </c>
      <c r="DH106" s="2">
        <f>10681+14644+18797+19600</f>
        <v>63722</v>
      </c>
      <c r="DI106" s="2">
        <f>8545.49+27570+187614.55+105168+170000</f>
        <v>498898.04</v>
      </c>
      <c r="DJ106" s="2">
        <f>1918+2730</f>
        <v>4648</v>
      </c>
      <c r="DM106" s="2">
        <f>68591+153473</f>
        <v>222064</v>
      </c>
      <c r="DO106" s="2">
        <f>50000</f>
        <v>50000</v>
      </c>
      <c r="DP106" s="2">
        <f>81699+167210+213436.27+187200</f>
        <v>649545.27</v>
      </c>
      <c r="DQ106" s="2">
        <f>56685+39904+116726</f>
        <v>213315</v>
      </c>
      <c r="DT106" s="1">
        <v>50000</v>
      </c>
      <c r="DU106" s="2">
        <f>13040+24960+58843+219709.56</f>
        <v>316552.56</v>
      </c>
      <c r="DV106" s="2">
        <f>2800+9436+76456+40933</f>
        <v>129625</v>
      </c>
      <c r="DW106" s="2">
        <f>39032+88000+6650+17260+30350</f>
        <v>181292</v>
      </c>
      <c r="DX106" s="14">
        <f>SUM(DY106:FC106)</f>
        <v>2558170.1199999996</v>
      </c>
      <c r="EI106" s="1">
        <v>50737</v>
      </c>
      <c r="EJ106" s="2">
        <f>1878+2865+6720+17955+20850+40100+50095+64964+81663+197498.64</f>
        <v>484588.64</v>
      </c>
      <c r="EK106" s="2">
        <f>19185+50000+14750.4+47565+101081+105740</f>
        <v>338321.4</v>
      </c>
      <c r="EL106" s="2">
        <f>1050+15340+36667+7006.44+10928+43670+47200+72843+77090+194058+41500</f>
        <v>547352.43999999994</v>
      </c>
      <c r="EM106" s="2">
        <f>967.04+12783.68+322523.1</f>
        <v>336273.81999999995</v>
      </c>
      <c r="EP106" s="2">
        <f>3960+32023+37000</f>
        <v>72983</v>
      </c>
      <c r="EQ106" s="2">
        <f>5400+5885.02</f>
        <v>11285.02</v>
      </c>
      <c r="ET106" s="2">
        <f>17246+20333+29318+77700+80000</f>
        <v>224597</v>
      </c>
      <c r="EW106" s="2">
        <f>2000+47200+48000+122500</f>
        <v>219700</v>
      </c>
      <c r="EX106" s="2">
        <f>18720+12190</f>
        <v>30910</v>
      </c>
      <c r="EZ106" s="2">
        <f>25208.8+24470+2000+42644+21028</f>
        <v>115350.8</v>
      </c>
      <c r="FA106" s="2">
        <f>2300+6200+14665+29058+35028+38820</f>
        <v>126071</v>
      </c>
      <c r="FD106" s="14">
        <f>SUM(FE106:GH106)</f>
        <v>0</v>
      </c>
      <c r="GI106" s="14">
        <f>SUM(GJ106:HN106)</f>
        <v>0</v>
      </c>
      <c r="HO106" s="14">
        <f>SUM(HP106:IT106)</f>
        <v>0</v>
      </c>
      <c r="IU106" s="14">
        <f>SUM(IV106:JY106)</f>
        <v>0</v>
      </c>
      <c r="JZ106" s="14">
        <f>SUM(KA106:LE106)</f>
        <v>0</v>
      </c>
      <c r="LF106" s="14">
        <f>SUM(LG106:MJ106)</f>
        <v>0</v>
      </c>
      <c r="MK106" s="14">
        <f>SUM(ML106:NP106)</f>
        <v>0</v>
      </c>
    </row>
    <row r="107" spans="1:349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S107" s="1"/>
      <c r="DX107" s="1"/>
      <c r="FD107" s="1"/>
      <c r="GI107" s="1"/>
      <c r="HO107" s="1"/>
      <c r="IU107" s="1"/>
      <c r="JE107" s="1"/>
      <c r="JZ107" s="1"/>
      <c r="LF107" s="1"/>
      <c r="MK107" s="1"/>
    </row>
    <row r="108" spans="1:349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S108" s="1"/>
      <c r="DX108" s="1"/>
      <c r="FD108" s="1"/>
      <c r="GI108" s="1"/>
      <c r="HO108" s="1"/>
      <c r="IU108" s="1"/>
      <c r="JE108" s="1"/>
      <c r="JZ108" s="1"/>
      <c r="LF108" s="1"/>
      <c r="MK108" s="1"/>
    </row>
    <row r="109" spans="1:349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S109" s="1"/>
      <c r="DX109" s="1"/>
      <c r="FD109" s="1"/>
      <c r="GI109" s="1"/>
      <c r="HO109" s="1"/>
      <c r="IU109" s="1"/>
      <c r="JE109" s="1"/>
      <c r="JZ109" s="1"/>
      <c r="LF109" s="1"/>
      <c r="MK109" s="1"/>
    </row>
    <row r="110" spans="1:349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S110" s="1"/>
      <c r="DX110" s="1"/>
      <c r="FD110" s="1"/>
      <c r="GI110" s="1"/>
      <c r="HO110" s="1"/>
      <c r="IU110" s="1"/>
      <c r="JE110" s="1"/>
      <c r="JZ110" s="1"/>
      <c r="LF110" s="1"/>
      <c r="MK110" s="1"/>
    </row>
    <row r="111" spans="1:349" x14ac:dyDescent="0.2">
      <c r="A111" s="1">
        <v>1</v>
      </c>
      <c r="B111" s="15" t="s">
        <v>53</v>
      </c>
      <c r="C111" s="14">
        <f t="shared" ref="C111:C112" si="99">D111+AJ111+BM111+CS111+DX111+FD111+GI111+HO111+IU111+JZ111+LF111+MK111</f>
        <v>4593.3600000000006</v>
      </c>
      <c r="D111" s="14">
        <f>SUM(E111:AI111)</f>
        <v>367.36999999999995</v>
      </c>
      <c r="G111" s="3"/>
      <c r="H111" s="2">
        <f>363.59+3.78</f>
        <v>367.36999999999995</v>
      </c>
      <c r="P111" s="3"/>
      <c r="Q111" s="3"/>
      <c r="R111" s="3"/>
      <c r="S111" s="3"/>
      <c r="T111" s="3"/>
      <c r="W111" s="3"/>
      <c r="X111" s="3"/>
      <c r="Y111" s="3"/>
      <c r="Z111" s="3"/>
      <c r="AA111" s="3"/>
      <c r="AD111" s="3"/>
      <c r="AE111" s="3"/>
      <c r="AF111" s="3"/>
      <c r="AG111" s="3"/>
      <c r="AH111" s="3"/>
      <c r="AJ111" s="14">
        <f t="shared" ref="AJ111:AJ115" si="100">SUM(AK111:BL111)</f>
        <v>0</v>
      </c>
      <c r="BM111" s="14">
        <f t="shared" ref="BM111:BM115" si="101">SUM(BN111:CR111)</f>
        <v>28.96</v>
      </c>
      <c r="CM111" s="1">
        <v>1.52</v>
      </c>
      <c r="CO111" s="1">
        <v>12.45</v>
      </c>
      <c r="CQ111" s="1">
        <v>1.49</v>
      </c>
      <c r="CR111" s="1">
        <v>13.5</v>
      </c>
      <c r="CS111" s="14">
        <f t="shared" ref="CS111:CS115" si="102">SUM(CT111:DW111)</f>
        <v>4083.1500000000005</v>
      </c>
      <c r="CT111" s="1">
        <v>20.37</v>
      </c>
      <c r="CV111" s="1">
        <v>3.06</v>
      </c>
      <c r="CX111" s="1">
        <v>84.23</v>
      </c>
      <c r="DD111" s="1">
        <v>2.67</v>
      </c>
      <c r="DE111" s="1">
        <v>273.32</v>
      </c>
      <c r="DI111" s="1">
        <v>2579.23</v>
      </c>
      <c r="DK111" s="1">
        <v>2.3199999999999998</v>
      </c>
      <c r="DM111" s="1">
        <v>39.86</v>
      </c>
      <c r="DQ111" s="1">
        <v>5.56</v>
      </c>
      <c r="DR111" s="1">
        <v>4.8499999999999996</v>
      </c>
      <c r="DW111" s="1">
        <v>1067.68</v>
      </c>
      <c r="DX111" s="14">
        <f t="shared" ref="DX111:DX115" si="103">SUM(DY111:FC111)</f>
        <v>113.88</v>
      </c>
      <c r="EA111" s="1">
        <v>87.04</v>
      </c>
      <c r="EH111" s="1">
        <v>22.91</v>
      </c>
      <c r="EJ111" s="1">
        <v>2.91</v>
      </c>
      <c r="EM111" s="1">
        <v>0.28000000000000003</v>
      </c>
      <c r="EN111" s="1">
        <v>0.74</v>
      </c>
      <c r="FD111" s="14">
        <f t="shared" ref="FD111:FD115" si="104">SUM(FE111:GH111)</f>
        <v>0</v>
      </c>
      <c r="GI111" s="14">
        <f t="shared" ref="GI111:GI115" si="105">SUM(GJ111:HN111)</f>
        <v>0</v>
      </c>
      <c r="HO111" s="14">
        <f t="shared" ref="HO111:HO115" si="106">SUM(HP111:IT111)</f>
        <v>0</v>
      </c>
      <c r="IU111" s="14">
        <f t="shared" ref="IU111:IU115" si="107">SUM(IV111:JY111)</f>
        <v>0</v>
      </c>
      <c r="JE111" s="1"/>
      <c r="JZ111" s="14">
        <f t="shared" ref="JZ111:JZ115" si="108">SUM(KA111:LE111)</f>
        <v>0</v>
      </c>
      <c r="LF111" s="14">
        <f t="shared" ref="LF111:LF115" si="109">SUM(LG111:MJ111)</f>
        <v>0</v>
      </c>
      <c r="MK111" s="14">
        <f t="shared" ref="MK111:MK115" si="110">SUM(ML111:NP111)</f>
        <v>0</v>
      </c>
    </row>
    <row r="112" spans="1:349" x14ac:dyDescent="0.2">
      <c r="A112" s="1">
        <v>1</v>
      </c>
      <c r="B112" s="15" t="s">
        <v>54</v>
      </c>
      <c r="C112" s="14">
        <f t="shared" si="99"/>
        <v>800.3599999999999</v>
      </c>
      <c r="D112" s="14">
        <f>SUM(E112:AI112)</f>
        <v>48.42</v>
      </c>
      <c r="G112" s="3">
        <v>48.42</v>
      </c>
      <c r="P112" s="3"/>
      <c r="Q112" s="3"/>
      <c r="R112" s="3"/>
      <c r="S112" s="3"/>
      <c r="T112" s="3"/>
      <c r="W112" s="3"/>
      <c r="X112" s="3"/>
      <c r="Y112" s="3"/>
      <c r="Z112" s="3"/>
      <c r="AA112" s="3"/>
      <c r="AD112" s="3"/>
      <c r="AE112" s="3"/>
      <c r="AF112" s="3"/>
      <c r="AG112" s="3"/>
      <c r="AH112" s="3"/>
      <c r="AJ112" s="14">
        <f t="shared" si="100"/>
        <v>0</v>
      </c>
      <c r="BM112" s="14">
        <f t="shared" si="101"/>
        <v>7.47</v>
      </c>
      <c r="CK112" s="1">
        <v>6.45</v>
      </c>
      <c r="CN112" s="1">
        <v>0.71</v>
      </c>
      <c r="CP112" s="1">
        <v>0.31</v>
      </c>
      <c r="CS112" s="14">
        <f t="shared" si="102"/>
        <v>383.08</v>
      </c>
      <c r="CU112" s="1">
        <v>0.28999999999999998</v>
      </c>
      <c r="CW112" s="1">
        <v>150.71</v>
      </c>
      <c r="CY112" s="1">
        <v>2.99</v>
      </c>
      <c r="CZ112" s="1">
        <v>11.83</v>
      </c>
      <c r="DA112" s="1">
        <v>134.44</v>
      </c>
      <c r="DB112" s="1">
        <v>10.23</v>
      </c>
      <c r="DC112" s="1">
        <v>3.69</v>
      </c>
      <c r="DF112" s="1">
        <v>0.3</v>
      </c>
      <c r="DG112" s="1">
        <v>9.18</v>
      </c>
      <c r="DH112" s="1">
        <v>51</v>
      </c>
      <c r="DL112" s="1">
        <v>5.78</v>
      </c>
      <c r="DO112" s="1">
        <v>2.64</v>
      </c>
      <c r="DX112" s="14">
        <f t="shared" si="103"/>
        <v>361.38999999999993</v>
      </c>
      <c r="DY112" s="1">
        <v>21.6</v>
      </c>
      <c r="DZ112" s="1">
        <v>16.14</v>
      </c>
      <c r="EB112" s="1">
        <v>5.83</v>
      </c>
      <c r="EC112" s="1">
        <v>9.4600000000000009</v>
      </c>
      <c r="ED112" s="1">
        <v>1.74</v>
      </c>
      <c r="EE112" s="1">
        <v>17.02</v>
      </c>
      <c r="EF112" s="1">
        <v>14.31</v>
      </c>
      <c r="EG112" s="1">
        <v>1.2</v>
      </c>
      <c r="EI112" s="1">
        <v>14.29</v>
      </c>
      <c r="EK112" s="1">
        <v>60.4</v>
      </c>
      <c r="EL112" s="1">
        <v>21.69</v>
      </c>
      <c r="EO112" s="1">
        <v>2.92</v>
      </c>
      <c r="EP112" s="1">
        <v>108.66</v>
      </c>
      <c r="EQ112" s="1">
        <v>1.71</v>
      </c>
      <c r="ER112" s="1">
        <v>9.99</v>
      </c>
      <c r="ES112" s="1">
        <v>7.87</v>
      </c>
      <c r="EU112" s="1">
        <v>8.1999999999999993</v>
      </c>
      <c r="EW112" s="1">
        <v>6.27</v>
      </c>
      <c r="EX112" s="1">
        <v>2.52</v>
      </c>
      <c r="EZ112" s="1">
        <v>6.74</v>
      </c>
      <c r="FB112" s="1">
        <v>16.84</v>
      </c>
      <c r="FC112" s="1">
        <v>5.99</v>
      </c>
      <c r="FD112" s="14">
        <f t="shared" si="104"/>
        <v>0</v>
      </c>
      <c r="GI112" s="14">
        <f t="shared" si="105"/>
        <v>0</v>
      </c>
      <c r="HO112" s="14">
        <f t="shared" si="106"/>
        <v>0</v>
      </c>
      <c r="IU112" s="14">
        <f t="shared" si="107"/>
        <v>0</v>
      </c>
      <c r="JE112" s="1"/>
      <c r="JZ112" s="14">
        <f t="shared" si="108"/>
        <v>0</v>
      </c>
      <c r="LF112" s="14">
        <f t="shared" si="109"/>
        <v>0</v>
      </c>
      <c r="MK112" s="14">
        <f t="shared" si="110"/>
        <v>0</v>
      </c>
    </row>
    <row r="113" spans="1:349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S113" s="1"/>
      <c r="DX113" s="1"/>
      <c r="FD113" s="1"/>
      <c r="GI113" s="1"/>
      <c r="HO113" s="1"/>
      <c r="IU113" s="1"/>
      <c r="JE113" s="1"/>
      <c r="JZ113" s="1"/>
      <c r="LF113" s="1"/>
      <c r="MK113" s="1"/>
    </row>
    <row r="114" spans="1:349" x14ac:dyDescent="0.2">
      <c r="A114" s="1">
        <v>1</v>
      </c>
      <c r="B114" s="15" t="s">
        <v>55</v>
      </c>
      <c r="C114" s="14">
        <f t="shared" ref="C114:C115" si="111">D114+AJ114+BM114+CS114+DX114+FD114+GI114+HO114+IU114+JZ114+LF114+MK114</f>
        <v>2599640</v>
      </c>
      <c r="D114" s="14">
        <f>SUM(E114:AI114)</f>
        <v>0</v>
      </c>
      <c r="G114" s="3"/>
      <c r="P114" s="3"/>
      <c r="Q114" s="3"/>
      <c r="R114" s="3"/>
      <c r="S114" s="3"/>
      <c r="T114" s="3"/>
      <c r="W114" s="3"/>
      <c r="X114" s="3"/>
      <c r="Y114" s="3"/>
      <c r="Z114" s="3"/>
      <c r="AA114" s="3"/>
      <c r="AD114" s="3"/>
      <c r="AE114" s="3"/>
      <c r="AF114" s="3"/>
      <c r="AG114" s="3"/>
      <c r="AH114" s="3"/>
      <c r="AJ114" s="14">
        <f t="shared" si="100"/>
        <v>2000000</v>
      </c>
      <c r="BG114" s="2">
        <v>2000000</v>
      </c>
      <c r="BM114" s="14">
        <f t="shared" si="101"/>
        <v>599640</v>
      </c>
      <c r="BP114" s="2">
        <v>599640</v>
      </c>
      <c r="CS114" s="14">
        <f t="shared" si="102"/>
        <v>0</v>
      </c>
      <c r="DX114" s="14">
        <f t="shared" si="103"/>
        <v>0</v>
      </c>
      <c r="FD114" s="14">
        <f t="shared" si="104"/>
        <v>0</v>
      </c>
      <c r="GI114" s="14">
        <f t="shared" si="105"/>
        <v>0</v>
      </c>
      <c r="HO114" s="14">
        <f t="shared" si="106"/>
        <v>0</v>
      </c>
      <c r="IU114" s="14">
        <f t="shared" si="107"/>
        <v>0</v>
      </c>
      <c r="JE114" s="1"/>
      <c r="JZ114" s="14">
        <f t="shared" si="108"/>
        <v>0</v>
      </c>
      <c r="LF114" s="14">
        <f t="shared" si="109"/>
        <v>0</v>
      </c>
      <c r="MK114" s="14">
        <f t="shared" si="110"/>
        <v>0</v>
      </c>
    </row>
    <row r="115" spans="1:349" x14ac:dyDescent="0.2">
      <c r="A115" s="1">
        <v>1</v>
      </c>
      <c r="B115" s="15" t="s">
        <v>56</v>
      </c>
      <c r="C115" s="14">
        <f t="shared" si="111"/>
        <v>135000</v>
      </c>
      <c r="D115" s="14">
        <f>SUM(E115:AI115)</f>
        <v>50000</v>
      </c>
      <c r="G115" s="3"/>
      <c r="P115" s="3"/>
      <c r="Q115" s="3">
        <v>50000</v>
      </c>
      <c r="R115" s="3"/>
      <c r="S115" s="3"/>
      <c r="T115" s="3"/>
      <c r="W115" s="3"/>
      <c r="X115" s="3"/>
      <c r="Y115" s="3"/>
      <c r="Z115" s="3"/>
      <c r="AA115" s="3"/>
      <c r="AD115" s="3"/>
      <c r="AE115" s="3"/>
      <c r="AF115" s="3"/>
      <c r="AG115" s="3"/>
      <c r="AH115" s="3"/>
      <c r="AJ115" s="14">
        <f t="shared" si="100"/>
        <v>0</v>
      </c>
      <c r="BM115" s="14">
        <f t="shared" si="101"/>
        <v>25000</v>
      </c>
      <c r="BO115" s="2">
        <v>25000</v>
      </c>
      <c r="CS115" s="14">
        <f t="shared" si="102"/>
        <v>60000</v>
      </c>
      <c r="DJ115" s="31">
        <v>60000</v>
      </c>
      <c r="DX115" s="14">
        <f t="shared" si="103"/>
        <v>0</v>
      </c>
      <c r="FD115" s="14">
        <f t="shared" si="104"/>
        <v>0</v>
      </c>
      <c r="GI115" s="14">
        <f t="shared" si="105"/>
        <v>0</v>
      </c>
      <c r="HO115" s="14">
        <f t="shared" si="106"/>
        <v>0</v>
      </c>
      <c r="IU115" s="14">
        <f t="shared" si="107"/>
        <v>0</v>
      </c>
      <c r="JE115" s="1"/>
      <c r="JZ115" s="14">
        <f t="shared" si="108"/>
        <v>0</v>
      </c>
      <c r="LF115" s="14">
        <f t="shared" si="109"/>
        <v>0</v>
      </c>
      <c r="MK115" s="14">
        <f t="shared" si="110"/>
        <v>0</v>
      </c>
    </row>
    <row r="117" spans="1:349" s="2" customFormat="1" x14ac:dyDescent="0.2">
      <c r="A117" s="1">
        <v>1</v>
      </c>
      <c r="B117" s="24" t="s">
        <v>35</v>
      </c>
      <c r="C117" s="14">
        <f t="shared" ref="C117:C118" si="112">D117+AJ117+BM117+CS117+DX117+FD117+GI117+HO117+IU117+JZ117+LF117+MK117</f>
        <v>118786.14</v>
      </c>
      <c r="D117" s="14">
        <f>SUM(E117:AI117)</f>
        <v>52000</v>
      </c>
      <c r="G117" s="3"/>
      <c r="P117" s="3"/>
      <c r="Q117" s="3">
        <v>52000</v>
      </c>
      <c r="R117" s="3"/>
      <c r="S117" s="3"/>
      <c r="T117" s="3"/>
      <c r="W117" s="3"/>
      <c r="X117" s="3"/>
      <c r="Y117" s="3"/>
      <c r="Z117" s="3"/>
      <c r="AA117" s="3"/>
      <c r="AD117" s="3"/>
      <c r="AE117" s="3"/>
      <c r="AF117" s="3"/>
      <c r="AG117" s="3"/>
      <c r="AH117" s="3"/>
      <c r="AJ117" s="14">
        <f t="shared" ref="AJ117:AJ118" si="113">SUM(AK117:BL117)</f>
        <v>0</v>
      </c>
      <c r="BM117" s="14">
        <f>SUM(BN117:CR117)</f>
        <v>0</v>
      </c>
      <c r="CS117" s="14">
        <f t="shared" ref="CS117:CS118" si="114">SUM(CT117:DW117)</f>
        <v>66786.14</v>
      </c>
      <c r="DJ117" s="2">
        <v>66786.14</v>
      </c>
      <c r="DX117" s="14">
        <f>SUM(DY117:FC117)</f>
        <v>0</v>
      </c>
      <c r="FD117" s="14">
        <f t="shared" ref="FD117:FD118" si="115">SUM(FE117:GH117)</f>
        <v>0</v>
      </c>
      <c r="GI117" s="14">
        <f>SUM(GJ117:HN117)</f>
        <v>0</v>
      </c>
      <c r="HO117" s="14">
        <f>SUM(HP117:IT117)</f>
        <v>0</v>
      </c>
      <c r="IU117" s="14">
        <f t="shared" ref="IU117:IU118" si="116">SUM(IV117:JY117)</f>
        <v>0</v>
      </c>
      <c r="JZ117" s="14">
        <f>SUM(KA117:LE117)</f>
        <v>0</v>
      </c>
      <c r="LF117" s="14">
        <f t="shared" ref="LF117:LF118" si="117">SUM(LG117:MJ117)</f>
        <v>0</v>
      </c>
      <c r="MK117" s="14">
        <f>SUM(ML117:NP117)</f>
        <v>0</v>
      </c>
    </row>
    <row r="118" spans="1:349" x14ac:dyDescent="0.2">
      <c r="A118" s="1">
        <v>1</v>
      </c>
      <c r="B118" s="15" t="s">
        <v>36</v>
      </c>
      <c r="C118" s="14">
        <f t="shared" si="112"/>
        <v>2583098</v>
      </c>
      <c r="D118" s="14">
        <f>SUM(E118:AI118)</f>
        <v>0</v>
      </c>
      <c r="G118" s="3"/>
      <c r="P118" s="3"/>
      <c r="Q118" s="3"/>
      <c r="R118" s="3"/>
      <c r="S118" s="3"/>
      <c r="T118" s="3"/>
      <c r="W118" s="3"/>
      <c r="X118" s="3"/>
      <c r="Y118" s="3"/>
      <c r="Z118" s="3"/>
      <c r="AA118" s="3"/>
      <c r="AD118" s="3"/>
      <c r="AE118" s="3"/>
      <c r="AF118" s="3"/>
      <c r="AG118" s="3"/>
      <c r="AH118" s="3"/>
      <c r="AJ118" s="14">
        <f t="shared" si="113"/>
        <v>0</v>
      </c>
      <c r="BM118" s="14">
        <f>SUM(BN118:CR118)</f>
        <v>2583098</v>
      </c>
      <c r="CQ118" s="1">
        <v>2583098</v>
      </c>
      <c r="CS118" s="14">
        <f t="shared" si="114"/>
        <v>0</v>
      </c>
      <c r="DX118" s="14">
        <f>SUM(DY118:FC118)</f>
        <v>0</v>
      </c>
      <c r="FD118" s="14">
        <f t="shared" si="115"/>
        <v>0</v>
      </c>
      <c r="GI118" s="14">
        <f>SUM(GJ118:HN118)</f>
        <v>0</v>
      </c>
      <c r="HO118" s="14">
        <f>SUM(HP118:IT118)</f>
        <v>0</v>
      </c>
      <c r="IU118" s="14">
        <f t="shared" si="116"/>
        <v>0</v>
      </c>
      <c r="JE118" s="1"/>
      <c r="JZ118" s="14">
        <f>SUM(KA118:LE118)</f>
        <v>0</v>
      </c>
      <c r="LF118" s="14">
        <f t="shared" si="117"/>
        <v>0</v>
      </c>
      <c r="MK118" s="14">
        <f>SUM(ML118:NP118)</f>
        <v>0</v>
      </c>
    </row>
  </sheetData>
  <conditionalFormatting sqref="C3:MK3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9826-BFFE-4F06-B226-1FA01B942E83}">
  <dimension ref="K25:L28"/>
  <sheetViews>
    <sheetView workbookViewId="0">
      <selection activeCell="K25" sqref="K25:L28"/>
    </sheetView>
  </sheetViews>
  <sheetFormatPr defaultRowHeight="15" x14ac:dyDescent="0.25"/>
  <sheetData>
    <row r="25" spans="11:12" x14ac:dyDescent="0.25">
      <c r="K25" t="s">
        <v>58</v>
      </c>
      <c r="L25">
        <v>20000</v>
      </c>
    </row>
    <row r="26" spans="11:12" x14ac:dyDescent="0.25">
      <c r="K26" t="s">
        <v>59</v>
      </c>
      <c r="L26">
        <v>12000</v>
      </c>
    </row>
    <row r="27" spans="11:12" x14ac:dyDescent="0.25">
      <c r="K27" t="s">
        <v>60</v>
      </c>
      <c r="L27">
        <v>17500</v>
      </c>
    </row>
    <row r="28" spans="11:12" x14ac:dyDescent="0.25">
      <c r="K28" t="s">
        <v>61</v>
      </c>
      <c r="L28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Ilnar U</dc:creator>
  <cp:lastModifiedBy>Ilnar U</cp:lastModifiedBy>
  <dcterms:created xsi:type="dcterms:W3CDTF">2026-06-23T06:53:20Z</dcterms:created>
  <dcterms:modified xsi:type="dcterms:W3CDTF">2026-06-23T16:20:07Z</dcterms:modified>
</cp:coreProperties>
</file>